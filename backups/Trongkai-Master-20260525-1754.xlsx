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lan 5 años" sheetId="2" state="visible" r:id="rId2"/>
    <sheet xmlns:r="http://schemas.openxmlformats.org/officeDocument/2006/relationships" name="Balance Masa" sheetId="3" state="visible" r:id="rId3"/>
    <sheet xmlns:r="http://schemas.openxmlformats.org/officeDocument/2006/relationships" name="Matriz Variables" sheetId="4" state="visible" r:id="rId4"/>
    <sheet xmlns:r="http://schemas.openxmlformats.org/officeDocument/2006/relationships" name="Data Room DD" sheetId="5" state="visible" r:id="rId5"/>
    <sheet xmlns:r="http://schemas.openxmlformats.org/officeDocument/2006/relationships" name="Sensibilidad" sheetId="6" state="visible" r:id="rId6"/>
    <sheet xmlns:r="http://schemas.openxmlformats.org/officeDocument/2006/relationships" name="Escenarios" sheetId="7" state="visible" r:id="rId7"/>
    <sheet xmlns:r="http://schemas.openxmlformats.org/officeDocument/2006/relationships" name="Carbono LCA" sheetId="8" state="visible" r:id="rId8"/>
    <sheet xmlns:r="http://schemas.openxmlformats.org/officeDocument/2006/relationships" name="Compliance REP" sheetId="9" state="visible" r:id="rId9"/>
    <sheet xmlns:r="http://schemas.openxmlformats.org/officeDocument/2006/relationships" name="Macro Chile" sheetId="10" state="visible" r:id="rId10"/>
    <sheet xmlns:r="http://schemas.openxmlformats.org/officeDocument/2006/relationships" name="Supuestos" sheetId="11" state="visible" r:id="rId11"/>
    <sheet xmlns:r="http://schemas.openxmlformats.org/officeDocument/2006/relationships" name="Instruccion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24">
    <font>
      <name val="Calibri"/>
      <family val="2"/>
      <color theme="1"/>
      <sz val="11"/>
      <scheme val="minor"/>
    </font>
    <font>
      <name val="Calibri"/>
      <b val="1"/>
      <color rgb="001D1D1F"/>
      <sz val="20"/>
    </font>
    <font>
      <name val="Calibri"/>
      <color rgb="0086868B"/>
      <sz val="11"/>
    </font>
    <font>
      <name val="Calibri"/>
      <b val="1"/>
      <color rgb="0086868B"/>
      <sz val="10"/>
    </font>
    <font>
      <name val="Calibri"/>
      <b val="1"/>
      <color rgb="001A8A1A"/>
      <sz val="36"/>
    </font>
    <font>
      <name val="Calibri"/>
      <b val="1"/>
      <color rgb="001A8A1A"/>
      <sz val="14"/>
    </font>
    <font>
      <b val="1"/>
      <color rgb="001D1D1F"/>
      <sz val="14"/>
    </font>
    <font>
      <name val="Calibri"/>
      <b val="1"/>
      <color rgb="00FFFFFF"/>
      <sz val="10"/>
    </font>
    <font>
      <name val="Calibri"/>
      <color rgb="001D1D1F"/>
      <sz val="10"/>
    </font>
    <font>
      <name val="Calibri"/>
      <b val="1"/>
      <color rgb="001D1D1F"/>
      <sz val="10"/>
    </font>
    <font>
      <color rgb="001D1D1F"/>
      <sz val="10"/>
    </font>
    <font>
      <color rgb="00FF3B30"/>
      <sz val="10"/>
    </font>
    <font>
      <b val="1"/>
      <sz val="10"/>
    </font>
    <font>
      <b val="1"/>
      <color rgb="001A8A1A"/>
      <sz val="10"/>
    </font>
    <font>
      <b val="1"/>
      <color rgb="006B8B23"/>
      <sz val="10"/>
    </font>
    <font>
      <b val="1"/>
      <color rgb="00FF3B30"/>
      <sz val="10"/>
    </font>
    <font>
      <b val="1"/>
      <color rgb="00FFFFFF"/>
      <sz val="10"/>
    </font>
    <font>
      <b val="1"/>
      <color rgb="001D1D1F"/>
      <sz val="10"/>
    </font>
    <font>
      <b val="1"/>
    </font>
    <font>
      <b val="1"/>
      <color rgb="001A8A1A"/>
      <sz val="11"/>
    </font>
    <font>
      <b val="1"/>
      <color rgb="00FFFFFF"/>
    </font>
    <font>
      <b val="1"/>
      <color rgb="001D1D1F"/>
    </font>
    <font>
      <name val="Calibri"/>
      <b val="1"/>
      <color rgb="001A8A1A"/>
      <sz val="12"/>
    </font>
    <font>
      <name val="Calibri"/>
      <color rgb="0086868B"/>
      <sz val="10"/>
    </font>
  </fonts>
  <fills count="9">
    <fill>
      <patternFill/>
    </fill>
    <fill>
      <patternFill patternType="gray125"/>
    </fill>
    <fill>
      <patternFill patternType="solid">
        <fgColor rgb="00EAF6EA"/>
      </patternFill>
    </fill>
    <fill>
      <patternFill patternType="solid">
        <fgColor rgb="001A8A1A"/>
      </patternFill>
    </fill>
    <fill>
      <patternFill patternType="solid">
        <fgColor rgb="00F5F5F7"/>
      </patternFill>
    </fill>
    <fill>
      <patternFill patternType="solid">
        <fgColor rgb="00FFEBEA"/>
      </patternFill>
    </fill>
    <fill>
      <patternFill patternType="solid">
        <fgColor rgb="00FF3B30"/>
      </patternFill>
    </fill>
    <fill>
      <patternFill patternType="solid">
        <fgColor rgb="00FFCC00"/>
      </patternFill>
    </fill>
    <fill>
      <patternFill patternType="solid">
        <fgColor rgb="00FF9500"/>
      </patternFill>
    </fill>
  </fills>
  <borders count="2">
    <border>
      <left/>
      <right/>
      <top/>
      <bottom/>
      <diagonal/>
    </border>
    <border>
      <left style="thin">
        <color rgb="00E8E8ED"/>
      </left>
      <right style="thin">
        <color rgb="00E8E8ED"/>
      </right>
      <top style="thin">
        <color rgb="00E8E8ED"/>
      </top>
      <bottom style="thin">
        <color rgb="00E8E8E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5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5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10" fontId="8" fillId="0" borderId="1" applyAlignment="1" pivotButton="0" quotePrefix="0" xfId="0">
      <alignment horizontal="center" vertical="center"/>
    </xf>
    <xf numFmtId="0" fontId="18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8" fillId="0" borderId="1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/>
    </xf>
    <xf numFmtId="0" fontId="22" fillId="0" borderId="0" pivotButton="0" quotePrefix="0" xfId="0"/>
    <xf numFmtId="0" fontId="8" fillId="0" borderId="0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vs EBITDA vs CapEx por año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 5 años'!B4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'Plan 5 años'!$A$5:$A$9</f>
            </numRef>
          </cat>
          <val>
            <numRef>
              <f>'Plan 5 años'!$B$5:$B$9</f>
            </numRef>
          </val>
        </ser>
        <ser>
          <idx val="1"/>
          <order val="1"/>
          <tx>
            <strRef>
              <f>'Plan 5 años'!C4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'Plan 5 años'!$A$5:$A$9</f>
            </numRef>
          </cat>
          <val>
            <numRef>
              <f>'Plan 5 años'!$C$5:$C$9</f>
            </numRef>
          </val>
        </ser>
        <ser>
          <idx val="2"/>
          <order val="2"/>
          <tx>
            <strRef>
              <f>'Plan 5 años'!D4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'Plan 5 años'!$A$5:$A$9</f>
            </numRef>
          </cat>
          <val>
            <numRef>
              <f>'Plan 5 años'!$D$5:$D$9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MMPP</a:t>
            </a:r>
          </a:p>
        </rich>
      </tx>
    </title>
    <plotArea>
      <pieChart>
        <varyColors val="1"/>
        <ser>
          <idx val="0"/>
          <order val="0"/>
          <tx>
            <strRef>
              <f>'Balance Masa'!B4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'Balance Masa'!$A$5:$A$9</f>
            </numRef>
          </cat>
          <val>
            <numRef>
              <f>'Balance Masa'!$B$5:$B$9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TrongkAI</author>
  </authors>
  <commentList>
    <comment ref="B6" authorId="0" shapeId="0">
      <text>
        <t>Valor: 11000.0 ton/año
Fuente: Plan: peso mix maduro × volumen total (50000 ton/año)
Nota: Calibrar con volumen real cuando llegue cotización MMPP</t>
      </text>
    </comment>
    <comment ref="C6" authorId="0" shapeId="0">
      <text>
        <t>Valor: 2000.0 ton/año
Fuente: Plan: peso mix maduro × volumen total (50000 ton/año)
Nota: Calibrar con volumen real cuando llegue cotización MMPP</t>
      </text>
    </comment>
    <comment ref="D6" authorId="0" shapeId="0">
      <text>
        <t>Valor: 8000.0 ton/año
Fuente: Plan: peso mix maduro × volumen total (50000 ton/año)
Nota: Calibrar con volumen real cuando llegue cotización MMPP</t>
      </text>
    </comment>
    <comment ref="E6" authorId="0" shapeId="0">
      <text>
        <t>Valor: 7500.0 ton/año
Fuente: Plan: peso mix maduro × volumen total (50000 ton/año)
Nota: Calibrar con volumen real cuando llegue cotización MMPP</t>
      </text>
    </comment>
    <comment ref="F6" authorId="0" shapeId="0">
      <text>
        <t>Valor: 6000.0 ton/año
Fuente: Plan: peso mix maduro × volumen total (50000 ton/año)
Nota: Calibrar con volumen real cuando llegue cotización MMPP</t>
      </text>
    </comment>
    <comment ref="G6" authorId="0" shapeId="0">
      <text>
        <t>Valor: 1000.0 ton/año
Fuente: Plan: peso mix maduro × volumen total (50000 ton/año)
Nota: Calibrar con volumen real cuando llegue cotización MMPP</t>
      </text>
    </comment>
    <comment ref="H6" authorId="0" shapeId="0">
      <text>
        <t>Valor: 25.0 ton/año
Fuente: Plan: peso mix maduro × volumen total (50000 ton/año)
Nota: Calibrar con volumen real cuando llegue cotización MMPP</t>
      </text>
    </comment>
    <comment ref="I6" authorId="0" shapeId="0">
      <text>
        <t>Valor: 9000.0 ton/año
Fuente: Plan: peso mix maduro × volumen total (50000 ton/año)
Nota: Calibrar con volumen real cuando llegue cotización MMPP</t>
      </text>
    </comment>
    <comment ref="J6" authorId="0" shapeId="0">
      <text>
        <t>Valor: 2000.0 ton/año
Fuente: Plan: peso mix maduro × volumen total (50000 ton/año)
Nota: Calibrar con volumen real cuando llegue cotización MMPP</t>
      </text>
    </comment>
    <comment ref="K6" authorId="0" shapeId="0">
      <text>
        <t>Valor: 2000.0 ton/año
Fuente: Plan: peso mix maduro × volumen total (50000 ton/año)
Nota: Calibrar con volumen real cuando llegue cotización MMPP</t>
      </text>
    </comment>
    <comment ref="L6" authorId="0" shapeId="0">
      <text>
        <t>Valor: 500.0 ton/año
Fuente: Plan: peso mix maduro × volumen total (50000 ton/año)
Nota: Calibrar con volumen real cuando llegue cotización MMPP</t>
      </text>
    </comment>
    <comment ref="B9" authorId="0" shapeId="0">
      <text>
        <t>Valor: 0.39 ton out/in
Fuente: plan_builder.rendimiento_por_mmpp — calibrado planta industrial referencia
Nota: Validar con muestras reales tomatera y olivar</t>
      </text>
    </comment>
    <comment ref="C9" authorId="0" shapeId="0">
      <text>
        <t>Valor: 0.39 ton out/in
Fuente: plan_builder.rendimiento_por_mmpp — calibrado planta industrial referencia
Nota: Validar con muestras reales tomatera y olivar</t>
      </text>
    </comment>
    <comment ref="D9" authorId="0" shapeId="0">
      <text>
        <t>Valor: 0.18 ton out/in
Fuente: plan_builder.rendimiento_por_mmpp — calibrado planta industrial referencia
Nota: Validar con muestras reales tomatera y olivar</t>
      </text>
    </comment>
    <comment ref="E9" authorId="0" shapeId="0">
      <text>
        <t>Valor: 0.2 ton out/in
Fuente: plan_builder.rendimiento_por_mmpp — calibrado planta industrial referencia
Nota: Validar con muestras reales tomatera y olivar</t>
      </text>
    </comment>
    <comment ref="F9" authorId="0" shapeId="0">
      <text>
        <t>Valor: 0.22 ton out/in
Fuente: plan_builder.rendimiento_por_mmpp — calibrado planta industrial referencia
Nota: Validar con muestras reales tomatera y olivar</t>
      </text>
    </comment>
    <comment ref="G9" authorId="0" shapeId="0">
      <text>
        <t>Valor: 0.22 ton out/in
Fuente: plan_builder.rendimiento_por_mmpp — calibrado planta industrial referencia
Nota: Validar con muestras reales tomatera y olivar</t>
      </text>
    </comment>
    <comment ref="H9" authorId="0" shapeId="0">
      <text>
        <t>Valor: 0.2 ton out/in
Fuente: plan_builder.rendimiento_por_mmpp — calibrado planta industrial referencia
Nota: Validar con muestras reales tomatera y olivar</t>
      </text>
    </comment>
    <comment ref="I9" authorId="0" shapeId="0">
      <text>
        <t>Valor: 0.3 ton out/in
Fuente: plan_builder.rendimiento_por_mmpp — calibrado planta industrial referencia
Nota: PTEC: validar con piloto</t>
      </text>
    </comment>
    <comment ref="J9" authorId="0" shapeId="0">
      <text>
        <t>Valor: 0.39 ton out/in
Fuente: plan_builder.rendimiento_por_mmpp — calibrado planta industrial referencia
Nota: PTEC: validar con piloto</t>
      </text>
    </comment>
    <comment ref="K9" authorId="0" shapeId="0">
      <text>
        <t>Valor: 0.18 ton out/in
Fuente: plan_builder.rendimiento_por_mmpp — calibrado planta industrial referencia
Nota: PTEC: validar con piloto</t>
      </text>
    </comment>
    <comment ref="L9" authorId="0" shapeId="0">
      <text>
        <t>Valor: 0.3 ton out/in
Fuente: plan_builder.rendimiento_por_mmpp — calibrado planta industrial referencia
Nota: PTEC: validar con piloto</t>
      </text>
    </comment>
    <comment ref="B10" authorId="0" shapeId="0">
      <text>
        <t>Valor: 11000.0 ton/año
Fuente: Plan: peso mix maduro 22.00% × volumen total</t>
      </text>
    </comment>
    <comment ref="C10" authorId="0" shapeId="0">
      <text>
        <t>Valor: 2000.0 ton/año
Fuente: Plan: peso mix maduro 4.00% × volumen total</t>
      </text>
    </comment>
    <comment ref="D10" authorId="0" shapeId="0">
      <text>
        <t>Valor: 8000.0 ton/año
Fuente: Plan: peso mix maduro 16.00% × volumen total</t>
      </text>
    </comment>
    <comment ref="E10" authorId="0" shapeId="0">
      <text>
        <t>Valor: 7500.0 ton/año
Fuente: Plan: peso mix maduro 15.00% × volumen total</t>
      </text>
    </comment>
    <comment ref="F10" authorId="0" shapeId="0">
      <text>
        <t>Valor: 6000.0 ton/año
Fuente: Plan: peso mix maduro 12.00% × volumen total</t>
      </text>
    </comment>
    <comment ref="G10" authorId="0" shapeId="0">
      <text>
        <t>Valor: 1000.0 ton/año
Fuente: Plan: peso mix maduro 2.00% × volumen total</t>
      </text>
    </comment>
    <comment ref="H10" authorId="0" shapeId="0">
      <text>
        <t>Valor: 25.0 ton/año
Fuente: Plan: peso mix maduro 0.05% × volumen total</t>
      </text>
    </comment>
    <comment ref="I10" authorId="0" shapeId="0">
      <text>
        <t>Valor: 9000.0 ton/año
Fuente: Plan: peso mix maduro 18.00% × volumen total</t>
      </text>
    </comment>
    <comment ref="J10" authorId="0" shapeId="0">
      <text>
        <t>Valor: 2000.0 ton/año
Fuente: Plan: peso mix maduro 4.00% × volumen total</t>
      </text>
    </comment>
    <comment ref="K10" authorId="0" shapeId="0">
      <text>
        <t>Valor: 2000.0 ton/año
Fuente: Plan: peso mix maduro 4.00% × volumen total</t>
      </text>
    </comment>
    <comment ref="L10" authorId="0" shapeId="0">
      <text>
        <t>Valor: 500.0 ton/año
Fuente: Plan: peso mix maduro 1.00% × volumen total</t>
      </text>
    </comment>
    <comment ref="B11" authorId="0" shapeId="0">
      <text>
        <t>Valor: 800 CLP/kg
Fuente: plan_builder.precios_clp_kg — Damodaran + benchmarks mundiales × descuento nuevo entrante
Nota: Pedir LOI firmada de cliente para mover a OK_VALIDADO</t>
      </text>
    </comment>
    <comment ref="C11" authorId="0" shapeId="0">
      <text>
        <t>Valor: 1300 CLP/kg
Fuente: plan_builder.precios_clp_kg — Damodaran + benchmarks mundiales × descuento nuevo entrante
Nota: Pedir LOI firmada de cliente para mover a OK_VALIDADO</t>
      </text>
    </comment>
    <comment ref="D11" authorId="0" shapeId="0">
      <text>
        <t>Valor: 600 CLP/kg
Fuente: plan_builder.precios_clp_kg — Damodaran + benchmarks mundiales × descuento nuevo entrante
Nota: Pedir LOI firmada de cliente para mover a OK_VALIDADO</t>
      </text>
    </comment>
    <comment ref="E11" authorId="0" shapeId="0">
      <text>
        <t>Valor: 700 CLP/kg
Fuente: plan_builder.precios_clp_kg — Damodaran + benchmarks mundiales × descuento nuevo entrante
Nota: Pedir LOI firmada de cliente para mover a OK_VALIDADO</t>
      </text>
    </comment>
    <comment ref="F11" authorId="0" shapeId="0">
      <text>
        <t>Valor: 700 CLP/kg
Fuente: plan_builder.precios_clp_kg — Damodaran + benchmarks mundiales × descuento nuevo entrante
Nota: Pedir LOI firmada de cliente para mover a OK_VALIDADO</t>
      </text>
    </comment>
    <comment ref="G11" authorId="0" shapeId="0">
      <text>
        <t>Valor: 25000 CLP/kg
Fuente: plan_builder.precios_clp_kg — Damodaran + benchmarks mundiales × descuento nuevo entrante
Nota: Pedir LOI firmada de cliente para mover a OK_VALIDADO</t>
      </text>
    </comment>
    <comment ref="H11" authorId="0" shapeId="0">
      <text>
        <t>Valor: 80000 CLP/kg
Fuente: plan_builder.precios_clp_kg — Damodaran + benchmarks mundiales × descuento nuevo entrante
Nota: Pedir LOI firmada de cliente para mover a OK_VALIDADO</t>
      </text>
    </comment>
    <comment ref="I11" authorId="0" shapeId="0">
      <text>
        <t>Valor: 1500 CLP/kg
Fuente: plan_builder.precios_clp_kg — Damodaran + benchmarks mundiales × descuento nuevo entrante
Nota: Pedir LOI firmada de cliente para mover a OK_VALIDADO</t>
      </text>
    </comment>
    <comment ref="J11" authorId="0" shapeId="0">
      <text>
        <t>Valor: 15000 CLP/kg
Fuente: plan_builder.precios_clp_kg — Damodaran + benchmarks mundiales × descuento nuevo entrante
Nota: Pedir LOI firmada de cliente para mover a OK_VALIDADO</t>
      </text>
    </comment>
    <comment ref="K11" authorId="0" shapeId="0">
      <text>
        <t>Valor: 2000 CLP/kg
Fuente: plan_builder.precios_clp_kg — Damodaran + benchmarks mundiales × descuento nuevo entrante
Nota: Pedir LOI firmada de cliente para mover a OK_VALIDADO</t>
      </text>
    </comment>
    <comment ref="L11" authorId="0" shapeId="0">
      <text>
        <t>Valor: 4500 CLP/kg
Fuente: plan_builder.precios_clp_kg — Damodaran + benchmarks mundiales × descuento nuevo entrante
Nota: Pedir LOI firmada de cliente para mover a OK_VALIDADO</t>
      </text>
    </comment>
    <comment ref="B12" authorId="0" shapeId="0">
      <text>
        <t>Valor: 335 CLP/kg
Fuente: Suma costo_etapa_clp_kg (recepción + alimentación + homog + PEF + prensado + tricanter + extracción + secado + ensacado)
Nota: Productos PTEC requieren proceso adicional (extracción solventes, fermentación) — cotizar separado</t>
      </text>
    </comment>
    <comment ref="C12" authorId="0" shapeId="0">
      <text>
        <t>Valor: 335 CLP/kg
Fuente: Suma costo_etapa_clp_kg (recepción + alimentación + homog + PEF + prensado + tricanter + extracción + secado + ensacado)
Nota: Productos PTEC requieren proceso adicional (extracción solventes, fermentación) — cotizar separado</t>
      </text>
    </comment>
    <comment ref="D12" authorId="0" shapeId="0">
      <text>
        <t>Valor: 335 CLP/kg
Fuente: Suma costo_etapa_clp_kg (recepción + alimentación + homog + PEF + prensado + tricanter + extracción + secado + ensacado)
Nota: Productos PTEC requieren proceso adicional (extracción solventes, fermentación) — cotizar separado</t>
      </text>
    </comment>
    <comment ref="E12" authorId="0" shapeId="0">
      <text>
        <t>Valor: 335 CLP/kg
Fuente: Suma costo_etapa_clp_kg (recepción + alimentación + homog + PEF + prensado + tricanter + extracción + secado + ensacado)
Nota: Productos PTEC requieren proceso adicional (extracción solventes, fermentación) — cotizar separado</t>
      </text>
    </comment>
    <comment ref="F12" authorId="0" shapeId="0">
      <text>
        <t>Valor: 335 CLP/kg
Fuente: Suma costo_etapa_clp_kg (recepción + alimentación + homog + PEF + prensado + tricanter + extracción + secado + ensacado)
Nota: Productos PTEC requieren proceso adicional (extracción solventes, fermentación) — cotizar separado</t>
      </text>
    </comment>
    <comment ref="B13" authorId="0" shapeId="0">
      <text>
        <t>Valor: 40.0 CLP/kg
Fuente: Heurística 5% del precio venta (benchmark industria alimentaria)
Nota: Validar con cotización proveedor envase</t>
      </text>
    </comment>
    <comment ref="C13" authorId="0" shapeId="0">
      <text>
        <t>Valor: 65.0 CLP/kg
Fuente: Heurística 5% del precio venta (benchmark industria alimentaria)
Nota: Validar con cotización proveedor envase</t>
      </text>
    </comment>
    <comment ref="D13" authorId="0" shapeId="0">
      <text>
        <t>Valor: 30.0 CLP/kg
Fuente: Heurística 5% del precio venta (benchmark industria alimentaria)
Nota: Validar con cotización proveedor envase</t>
      </text>
    </comment>
    <comment ref="E13" authorId="0" shapeId="0">
      <text>
        <t>Valor: 35.0 CLP/kg
Fuente: Heurística 5% del precio venta (benchmark industria alimentaria)
Nota: Validar con cotización proveedor envase</t>
      </text>
    </comment>
    <comment ref="F13" authorId="0" shapeId="0">
      <text>
        <t>Valor: 35.0 CLP/kg
Fuente: Heurística 5% del precio venta (benchmark industria alimentaria)
Nota: Validar con cotización proveedor envase</t>
      </text>
    </comment>
    <comment ref="G13" authorId="0" shapeId="0">
      <text>
        <t>Valor: 1250.0 CLP/kg
Fuente: Heurística 5% del precio venta (benchmark industria alimentaria)
Nota: Validar con cotización proveedor envase</t>
      </text>
    </comment>
    <comment ref="H13" authorId="0" shapeId="0">
      <text>
        <t>Valor: 4000.0 CLP/kg
Fuente: Heurística 5% del precio venta (benchmark industria alimentaria)
Nota: Validar con cotización proveedor envase</t>
      </text>
    </comment>
    <comment ref="I13" authorId="0" shapeId="0">
      <text>
        <t>Valor: 75.0 CLP/kg
Fuente: Heurística 5% del precio venta (benchmark industria alimentaria)
Nota: Validar con cotización proveedor envase</t>
      </text>
    </comment>
    <comment ref="J13" authorId="0" shapeId="0">
      <text>
        <t>Valor: 750.0 CLP/kg
Fuente: Heurística 5% del precio venta (benchmark industria alimentaria)
Nota: Validar con cotización proveedor envase</t>
      </text>
    </comment>
    <comment ref="K13" authorId="0" shapeId="0">
      <text>
        <t>Valor: 100.0 CLP/kg
Fuente: Heurística 5% del precio venta (benchmark industria alimentaria)
Nota: Validar con cotización proveedor envase</t>
      </text>
    </comment>
    <comment ref="L13" authorId="0" shapeId="0">
      <text>
        <t>Valor: 225.0 CLP/kg
Fuente: Heurística 5% del precio venta (benchmark industria alimentaria)
Nota: Validar con cotización proveedor envase</t>
      </text>
    </comment>
    <comment ref="B14" authorId="0" shapeId="0">
      <text>
        <t>Valor: 8 CLP/kg
Fuente: Benchmark logística alimentaria Chile
Nota: Validar con cotización bodega + rotación real</t>
      </text>
    </comment>
    <comment ref="C14" authorId="0" shapeId="0">
      <text>
        <t>Valor: 8 CLP/kg
Fuente: Benchmark logística alimentaria Chile
Nota: Validar con cotización bodega + rotación real</t>
      </text>
    </comment>
    <comment ref="D14" authorId="0" shapeId="0">
      <text>
        <t>Valor: 8 CLP/kg
Fuente: Benchmark logística alimentaria Chile
Nota: Validar con cotización bodega + rotación real</t>
      </text>
    </comment>
    <comment ref="E14" authorId="0" shapeId="0">
      <text>
        <t>Valor: 8 CLP/kg
Fuente: Benchmark logística alimentaria Chile
Nota: Validar con cotización bodega + rotación real</t>
      </text>
    </comment>
    <comment ref="F14" authorId="0" shapeId="0">
      <text>
        <t>Valor: 8 CLP/kg
Fuente: Benchmark logística alimentaria Chile
Nota: Validar con cotización bodega + rotación real</t>
      </text>
    </comment>
    <comment ref="G14" authorId="0" shapeId="0">
      <text>
        <t>Valor: 15 CLP/kg
Fuente: Benchmark logística alimentaria Chile
Nota: Validar con cotización bodega + rotación real</t>
      </text>
    </comment>
    <comment ref="H14" authorId="0" shapeId="0">
      <text>
        <t>Valor: 15 CLP/kg
Fuente: Benchmark logística alimentaria Chile
Nota: Validar con cotización bodega + rotación real</t>
      </text>
    </comment>
    <comment ref="I14" authorId="0" shapeId="0">
      <text>
        <t>Valor: 25 CLP/kg
Fuente: Benchmark logística alimentaria Chile
Nota: Validar con cotización bodega + rotación real</t>
      </text>
    </comment>
    <comment ref="J14" authorId="0" shapeId="0">
      <text>
        <t>Valor: 25 CLP/kg
Fuente: Benchmark logística alimentaria Chile
Nota: Validar con cotización bodega + rotación real</t>
      </text>
    </comment>
    <comment ref="K14" authorId="0" shapeId="0">
      <text>
        <t>Valor: 25 CLP/kg
Fuente: Benchmark logística alimentaria Chile
Nota: Validar con cotización bodega + rotación real</t>
      </text>
    </comment>
    <comment ref="L14" authorId="0" shapeId="0">
      <text>
        <t>Valor: 25 CLP/kg
Fuente: Benchmark logística alimentaria Chile
Nota: Validar con cotización bodega + rotación real</t>
      </text>
    </comment>
    <comment ref="B15" authorId="0" shapeId="0">
      <text>
        <t>Valor: 12 CLP/kg
Fuente: Benchmark logística 75 km × 2000 CLP / 22500 kg
Nota: Refinar por ruta cliente cuando se cierren contratos</t>
      </text>
    </comment>
    <comment ref="C15" authorId="0" shapeId="0">
      <text>
        <t>Valor: 12 CLP/kg
Fuente: Benchmark logística 75 km × 2000 CLP / 22500 kg
Nota: Refinar por ruta cliente cuando se cierren contratos</t>
      </text>
    </comment>
    <comment ref="D15" authorId="0" shapeId="0">
      <text>
        <t>Valor: 12 CLP/kg
Fuente: Benchmark logística 75 km × 2000 CLP / 22500 kg
Nota: Refinar por ruta cliente cuando se cierren contratos</t>
      </text>
    </comment>
    <comment ref="E15" authorId="0" shapeId="0">
      <text>
        <t>Valor: 12 CLP/kg
Fuente: Benchmark logística 75 km × 2000 CLP / 22500 kg
Nota: Refinar por ruta cliente cuando se cierren contratos</t>
      </text>
    </comment>
    <comment ref="F15" authorId="0" shapeId="0">
      <text>
        <t>Valor: 12 CLP/kg
Fuente: Benchmark logística 75 km × 2000 CLP / 22500 kg
Nota: Refinar por ruta cliente cuando se cierren contratos</t>
      </text>
    </comment>
    <comment ref="G15" authorId="0" shapeId="0">
      <text>
        <t>Valor: 12 CLP/kg
Fuente: Benchmark logística 75 km × 2000 CLP / 22500 kg
Nota: Refinar por ruta cliente cuando se cierren contratos</t>
      </text>
    </comment>
    <comment ref="H15" authorId="0" shapeId="0">
      <text>
        <t>Valor: 12 CLP/kg
Fuente: Benchmark logística 75 km × 2000 CLP / 22500 kg
Nota: Refinar por ruta cliente cuando se cierren contratos</t>
      </text>
    </comment>
    <comment ref="I15" authorId="0" shapeId="0">
      <text>
        <t>Valor: 12 CLP/kg
Fuente: Benchmark logística 75 km × 2000 CLP / 22500 kg
Nota: Refinar por ruta cliente cuando se cierren contratos</t>
      </text>
    </comment>
    <comment ref="J15" authorId="0" shapeId="0">
      <text>
        <t>Valor: 12 CLP/kg
Fuente: Benchmark logística 75 km × 2000 CLP / 22500 kg
Nota: Refinar por ruta cliente cuando se cierren contratos</t>
      </text>
    </comment>
    <comment ref="K15" authorId="0" shapeId="0">
      <text>
        <t>Valor: 12 CLP/kg
Fuente: Benchmark logística 75 km × 2000 CLP / 22500 kg
Nota: Refinar por ruta cliente cuando se cierren contratos</t>
      </text>
    </comment>
    <comment ref="L15" authorId="0" shapeId="0">
      <text>
        <t>Valor: 12 CLP/kg
Fuente: Benchmark logística 75 km × 2000 CLP / 22500 kg
Nota: Refinar por ruta cliente cuando se cierren contratos</t>
      </text>
    </comment>
    <comment ref="B16" authorId="0" shapeId="0">
      <text>
        <t>Valor: 7 CLP/kg
Fuente: Transferencia tec CORFO 350M/año / volumen total
Nota: Pedir presupuesto QA específico por SKU</t>
      </text>
    </comment>
    <comment ref="C16" authorId="0" shapeId="0">
      <text>
        <t>Valor: 7 CLP/kg
Fuente: Transferencia tec CORFO 350M/año / volumen total
Nota: Pedir presupuesto QA específico por SKU</t>
      </text>
    </comment>
    <comment ref="D16" authorId="0" shapeId="0">
      <text>
        <t>Valor: 7 CLP/kg
Fuente: Transferencia tec CORFO 350M/año / volumen total
Nota: Pedir presupuesto QA específico por SKU</t>
      </text>
    </comment>
    <comment ref="E16" authorId="0" shapeId="0">
      <text>
        <t>Valor: 7 CLP/kg
Fuente: Transferencia tec CORFO 350M/año / volumen total
Nota: Pedir presupuesto QA específico por SKU</t>
      </text>
    </comment>
    <comment ref="F16" authorId="0" shapeId="0">
      <text>
        <t>Valor: 7 CLP/kg
Fuente: Transferencia tec CORFO 350M/año / volumen total
Nota: Pedir presupuesto QA específico por SKU</t>
      </text>
    </comment>
    <comment ref="G16" authorId="0" shapeId="0">
      <text>
        <t>Valor: 7 CLP/kg
Fuente: Transferencia tec CORFO 350M/año / volumen total
Nota: Pedir presupuesto QA específico por SKU</t>
      </text>
    </comment>
    <comment ref="H16" authorId="0" shapeId="0">
      <text>
        <t>Valor: 7 CLP/kg
Fuente: Transferencia tec CORFO 350M/año / volumen total
Nota: Pedir presupuesto QA específico por SKU</t>
      </text>
    </comment>
    <comment ref="I16" authorId="0" shapeId="0">
      <text>
        <t>Valor: 7 CLP/kg
Fuente: Transferencia tec CORFO 350M/año / volumen total
Nota: Pedir presupuesto QA específico por SKU</t>
      </text>
    </comment>
    <comment ref="J16" authorId="0" shapeId="0">
      <text>
        <t>Valor: 7 CLP/kg
Fuente: Transferencia tec CORFO 350M/año / volumen total
Nota: Pedir presupuesto QA específico por SKU</t>
      </text>
    </comment>
    <comment ref="K16" authorId="0" shapeId="0">
      <text>
        <t>Valor: 7 CLP/kg
Fuente: Transferencia tec CORFO 350M/año / volumen total
Nota: Pedir presupuesto QA específico por SKU</t>
      </text>
    </comment>
    <comment ref="L16" authorId="0" shapeId="0">
      <text>
        <t>Valor: 7 CLP/kg
Fuente: Transferencia tec CORFO 350M/año / volumen total
Nota: Pedir presupuesto QA específico por SKU</t>
      </text>
    </comment>
    <comment ref="B17" authorId="0" shapeId="0">
      <text>
        <t>Valor: 5.76 CLP/kg
Fuente: Aproximado desde opex_mensual_clp 80M × 12 / volumen
Nota: Pedir a Contadora: desglose real OpEx mensual</t>
      </text>
    </comment>
    <comment ref="C17" authorId="0" shapeId="0">
      <text>
        <t>Valor: 5.76 CLP/kg
Fuente: Aproximado desde opex_mensual_clp 80M × 12 / volumen
Nota: Pedir a Contadora: desglose real OpEx mensual</t>
      </text>
    </comment>
    <comment ref="D17" authorId="0" shapeId="0">
      <text>
        <t>Valor: 5.76 CLP/kg
Fuente: Aproximado desde opex_mensual_clp 80M × 12 / volumen
Nota: Pedir a Contadora: desglose real OpEx mensual</t>
      </text>
    </comment>
    <comment ref="E17" authorId="0" shapeId="0">
      <text>
        <t>Valor: 5.76 CLP/kg
Fuente: Aproximado desde opex_mensual_clp 80M × 12 / volumen
Nota: Pedir a Contadora: desglose real OpEx mensual</t>
      </text>
    </comment>
    <comment ref="F17" authorId="0" shapeId="0">
      <text>
        <t>Valor: 5.76 CLP/kg
Fuente: Aproximado desde opex_mensual_clp 80M × 12 / volumen
Nota: Pedir a Contadora: desglose real OpEx mensual</t>
      </text>
    </comment>
    <comment ref="G17" authorId="0" shapeId="0">
      <text>
        <t>Valor: 5.76 CLP/kg
Fuente: Aproximado desde opex_mensual_clp 80M × 12 / volumen
Nota: Pedir a Contadora: desglose real OpEx mensual</t>
      </text>
    </comment>
    <comment ref="H17" authorId="0" shapeId="0">
      <text>
        <t>Valor: 5.76 CLP/kg
Fuente: Aproximado desde opex_mensual_clp 80M × 12 / volumen
Nota: Pedir a Contadora: desglose real OpEx mensual</t>
      </text>
    </comment>
    <comment ref="I17" authorId="0" shapeId="0">
      <text>
        <t>Valor: 5.76 CLP/kg
Fuente: Aproximado desde opex_mensual_clp 80M × 12 / volumen
Nota: Pedir a Contadora: desglose real OpEx mensual</t>
      </text>
    </comment>
    <comment ref="J17" authorId="0" shapeId="0">
      <text>
        <t>Valor: 5.76 CLP/kg
Fuente: Aproximado desde opex_mensual_clp 80M × 12 / volumen
Nota: Pedir a Contadora: desglose real OpEx mensual</t>
      </text>
    </comment>
    <comment ref="K17" authorId="0" shapeId="0">
      <text>
        <t>Valor: 5.76 CLP/kg
Fuente: Aproximado desde opex_mensual_clp 80M × 12 / volumen
Nota: Pedir a Contadora: desglose real OpEx mensual</t>
      </text>
    </comment>
    <comment ref="L17" authorId="0" shapeId="0">
      <text>
        <t>Valor: 5.76 CLP/kg
Fuente: Aproximado desde opex_mensual_clp 80M × 12 / volumen
Nota: Pedir a Contadora: desglose real OpEx mensual</t>
      </text>
    </comment>
    <comment ref="B18" authorId="0" shapeId="0">
      <text>
        <t>Valor: 4.8 CLP/kg
Fuente: Aproximado desde opex_mensual_clp 80M × 12 / volumen
Nota: Pedir a Contadora: desglose real OpEx mensual</t>
      </text>
    </comment>
    <comment ref="C18" authorId="0" shapeId="0">
      <text>
        <t>Valor: 4.8 CLP/kg
Fuente: Aproximado desde opex_mensual_clp 80M × 12 / volumen
Nota: Pedir a Contadora: desglose real OpEx mensual</t>
      </text>
    </comment>
    <comment ref="D18" authorId="0" shapeId="0">
      <text>
        <t>Valor: 4.8 CLP/kg
Fuente: Aproximado desde opex_mensual_clp 80M × 12 / volumen
Nota: Pedir a Contadora: desglose real OpEx mensual</t>
      </text>
    </comment>
    <comment ref="E18" authorId="0" shapeId="0">
      <text>
        <t>Valor: 4.8 CLP/kg
Fuente: Aproximado desde opex_mensual_clp 80M × 12 / volumen
Nota: Pedir a Contadora: desglose real OpEx mensual</t>
      </text>
    </comment>
    <comment ref="F18" authorId="0" shapeId="0">
      <text>
        <t>Valor: 4.8 CLP/kg
Fuente: Aproximado desde opex_mensual_clp 80M × 12 / volumen
Nota: Pedir a Contadora: desglose real OpEx mensual</t>
      </text>
    </comment>
    <comment ref="G18" authorId="0" shapeId="0">
      <text>
        <t>Valor: 4.8 CLP/kg
Fuente: Aproximado desde opex_mensual_clp 80M × 12 / volumen
Nota: Pedir a Contadora: desglose real OpEx mensual</t>
      </text>
    </comment>
    <comment ref="H18" authorId="0" shapeId="0">
      <text>
        <t>Valor: 4.8 CLP/kg
Fuente: Aproximado desde opex_mensual_clp 80M × 12 / volumen
Nota: Pedir a Contadora: desglose real OpEx mensual</t>
      </text>
    </comment>
    <comment ref="I18" authorId="0" shapeId="0">
      <text>
        <t>Valor: 4.8 CLP/kg
Fuente: Aproximado desde opex_mensual_clp 80M × 12 / volumen
Nota: Pedir a Contadora: desglose real OpEx mensual</t>
      </text>
    </comment>
    <comment ref="J18" authorId="0" shapeId="0">
      <text>
        <t>Valor: 4.8 CLP/kg
Fuente: Aproximado desde opex_mensual_clp 80M × 12 / volumen
Nota: Pedir a Contadora: desglose real OpEx mensual</t>
      </text>
    </comment>
    <comment ref="K18" authorId="0" shapeId="0">
      <text>
        <t>Valor: 4.8 CLP/kg
Fuente: Aproximado desde opex_mensual_clp 80M × 12 / volumen
Nota: Pedir a Contadora: desglose real OpEx mensual</t>
      </text>
    </comment>
    <comment ref="L18" authorId="0" shapeId="0">
      <text>
        <t>Valor: 4.8 CLP/kg
Fuente: Aproximado desde opex_mensual_clp 80M × 12 / volumen
Nota: Pedir a Contadora: desglose real OpEx mensual</t>
      </text>
    </comment>
    <comment ref="B19" authorId="0" shapeId="0">
      <text>
        <t>Valor: 3.84 CLP/kg
Fuente: Aproximado desde opex_mensual_clp 80M × 12 / volumen
Nota: Pedir a Contadora: desglose real OpEx mensual</t>
      </text>
    </comment>
    <comment ref="C19" authorId="0" shapeId="0">
      <text>
        <t>Valor: 3.84 CLP/kg
Fuente: Aproximado desde opex_mensual_clp 80M × 12 / volumen
Nota: Pedir a Contadora: desglose real OpEx mensual</t>
      </text>
    </comment>
    <comment ref="D19" authorId="0" shapeId="0">
      <text>
        <t>Valor: 3.84 CLP/kg
Fuente: Aproximado desde opex_mensual_clp 80M × 12 / volumen
Nota: Pedir a Contadora: desglose real OpEx mensual</t>
      </text>
    </comment>
    <comment ref="E19" authorId="0" shapeId="0">
      <text>
        <t>Valor: 3.84 CLP/kg
Fuente: Aproximado desde opex_mensual_clp 80M × 12 / volumen
Nota: Pedir a Contadora: desglose real OpEx mensual</t>
      </text>
    </comment>
    <comment ref="F19" authorId="0" shapeId="0">
      <text>
        <t>Valor: 3.84 CLP/kg
Fuente: Aproximado desde opex_mensual_clp 80M × 12 / volumen
Nota: Pedir a Contadora: desglose real OpEx mensual</t>
      </text>
    </comment>
    <comment ref="G19" authorId="0" shapeId="0">
      <text>
        <t>Valor: 3.84 CLP/kg
Fuente: Aproximado desde opex_mensual_clp 80M × 12 / volumen
Nota: Pedir a Contadora: desglose real OpEx mensual</t>
      </text>
    </comment>
    <comment ref="H19" authorId="0" shapeId="0">
      <text>
        <t>Valor: 3.84 CLP/kg
Fuente: Aproximado desde opex_mensual_clp 80M × 12 / volumen
Nota: Pedir a Contadora: desglose real OpEx mensual</t>
      </text>
    </comment>
    <comment ref="I19" authorId="0" shapeId="0">
      <text>
        <t>Valor: 3.84 CLP/kg
Fuente: Aproximado desde opex_mensual_clp 80M × 12 / volumen
Nota: Pedir a Contadora: desglose real OpEx mensual</t>
      </text>
    </comment>
    <comment ref="J19" authorId="0" shapeId="0">
      <text>
        <t>Valor: 3.84 CLP/kg
Fuente: Aproximado desde opex_mensual_clp 80M × 12 / volumen
Nota: Pedir a Contadora: desglose real OpEx mensual</t>
      </text>
    </comment>
    <comment ref="K19" authorId="0" shapeId="0">
      <text>
        <t>Valor: 3.84 CLP/kg
Fuente: Aproximado desde opex_mensual_clp 80M × 12 / volumen
Nota: Pedir a Contadora: desglose real OpEx mensual</t>
      </text>
    </comment>
    <comment ref="L19" authorId="0" shapeId="0">
      <text>
        <t>Valor: 3.84 CLP/kg
Fuente: Aproximado desde opex_mensual_clp 80M × 12 / volumen
Nota: Pedir a Contadora: desglose real OpEx mensual</t>
      </text>
    </comment>
    <comment ref="B20" authorId="0" shapeId="0">
      <text>
        <t>Valor: 4.8 CLP/kg
Fuente: Aproximado desde opex_mensual_clp 80M × 12 / volumen
Nota: Pedir a Contadora: desglose real OpEx mensual</t>
      </text>
    </comment>
    <comment ref="C20" authorId="0" shapeId="0">
      <text>
        <t>Valor: 4.8 CLP/kg
Fuente: Aproximado desde opex_mensual_clp 80M × 12 / volumen
Nota: Pedir a Contadora: desglose real OpEx mensual</t>
      </text>
    </comment>
    <comment ref="D20" authorId="0" shapeId="0">
      <text>
        <t>Valor: 4.8 CLP/kg
Fuente: Aproximado desde opex_mensual_clp 80M × 12 / volumen
Nota: Pedir a Contadora: desglose real OpEx mensual</t>
      </text>
    </comment>
    <comment ref="E20" authorId="0" shapeId="0">
      <text>
        <t>Valor: 4.8 CLP/kg
Fuente: Aproximado desde opex_mensual_clp 80M × 12 / volumen
Nota: Pedir a Contadora: desglose real OpEx mensual</t>
      </text>
    </comment>
    <comment ref="F20" authorId="0" shapeId="0">
      <text>
        <t>Valor: 4.8 CLP/kg
Fuente: Aproximado desde opex_mensual_clp 80M × 12 / volumen
Nota: Pedir a Contadora: desglose real OpEx mensual</t>
      </text>
    </comment>
    <comment ref="G20" authorId="0" shapeId="0">
      <text>
        <t>Valor: 4.8 CLP/kg
Fuente: Aproximado desde opex_mensual_clp 80M × 12 / volumen
Nota: Pedir a Contadora: desglose real OpEx mensual</t>
      </text>
    </comment>
    <comment ref="H20" authorId="0" shapeId="0">
      <text>
        <t>Valor: 4.8 CLP/kg
Fuente: Aproximado desde opex_mensual_clp 80M × 12 / volumen
Nota: Pedir a Contadora: desglose real OpEx mensual</t>
      </text>
    </comment>
    <comment ref="I20" authorId="0" shapeId="0">
      <text>
        <t>Valor: 4.8 CLP/kg
Fuente: Aproximado desde opex_mensual_clp 80M × 12 / volumen
Nota: Pedir a Contadora: desglose real OpEx mensual</t>
      </text>
    </comment>
    <comment ref="J20" authorId="0" shapeId="0">
      <text>
        <t>Valor: 4.8 CLP/kg
Fuente: Aproximado desde opex_mensual_clp 80M × 12 / volumen
Nota: Pedir a Contadora: desglose real OpEx mensual</t>
      </text>
    </comment>
    <comment ref="K20" authorId="0" shapeId="0">
      <text>
        <t>Valor: 4.8 CLP/kg
Fuente: Aproximado desde opex_mensual_clp 80M × 12 / volumen
Nota: Pedir a Contadora: desglose real OpEx mensual</t>
      </text>
    </comment>
    <comment ref="L20" authorId="0" shapeId="0">
      <text>
        <t>Valor: 4.8 CLP/kg
Fuente: Aproximado desde opex_mensual_clp 80M × 12 / volumen
Nota: Pedir a Contadora: desglose real OpEx mensual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3" customWidth="1" min="3" max="3"/>
    <col width="13" customWidth="1" min="4" max="4"/>
    <col width="5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Trongkai</t>
        </is>
      </c>
    </row>
    <row r="2">
      <c r="A2" s="2" t="inlineStr">
        <is>
          <t>Innovación en Nutrición Circular · Tearsheet ejecutivo</t>
        </is>
      </c>
    </row>
    <row r="3">
      <c r="A3" s="2" t="inlineStr">
        <is>
          <t>Generado: 25 May 2026, 17:53</t>
        </is>
      </c>
    </row>
    <row r="5">
      <c r="A5" s="3" t="inlineStr">
        <is>
          <t>TIR Proyecto</t>
        </is>
      </c>
      <c r="C5" s="3" t="inlineStr">
        <is>
          <t>VAN @ WACC 18%</t>
        </is>
      </c>
      <c r="E5" s="3" t="inlineStr">
        <is>
          <t>Payback</t>
        </is>
      </c>
      <c r="G5" s="3" t="inlineStr">
        <is>
          <t>EV exit 5y</t>
        </is>
      </c>
    </row>
    <row r="6">
      <c r="A6" s="4" t="inlineStr">
        <is>
          <t>30.73%</t>
        </is>
      </c>
      <c r="C6" s="4" t="inlineStr">
        <is>
          <t>$3.5B CLP</t>
        </is>
      </c>
      <c r="E6" s="4" t="inlineStr">
        <is>
          <t>54 meses</t>
        </is>
      </c>
      <c r="G6" s="4" t="inlineStr">
        <is>
          <t>$136B CLP</t>
        </is>
      </c>
    </row>
    <row r="9">
      <c r="A9" s="5" t="inlineStr">
        <is>
          <t>Investment Readiness Score: 76.5/100 — PROMETEDOR — requiere optimización en 1-2 dimensiones antes del cierre.</t>
        </is>
      </c>
    </row>
    <row r="11">
      <c r="A11" s="6" t="inlineStr">
        <is>
          <t>Score por dimensión</t>
        </is>
      </c>
    </row>
    <row r="12">
      <c r="A12" s="7" t="inlineStr">
        <is>
          <t>Dimensión</t>
        </is>
      </c>
      <c r="B12" s="7" t="inlineStr">
        <is>
          <t>Peso</t>
        </is>
      </c>
      <c r="C12" s="7" t="inlineStr">
        <is>
          <t>Score 0-100</t>
        </is>
      </c>
      <c r="D12" s="7" t="inlineStr">
        <is>
          <t>Aporte total</t>
        </is>
      </c>
      <c r="E12" s="7" t="inlineStr">
        <is>
          <t>Detalle</t>
        </is>
      </c>
    </row>
    <row r="13">
      <c r="A13" s="8" t="inlineStr">
        <is>
          <t>Retorno financiero</t>
        </is>
      </c>
      <c r="B13" s="8" t="inlineStr">
        <is>
          <t>18%</t>
        </is>
      </c>
      <c r="C13" s="8" t="n">
        <v>78.7</v>
      </c>
      <c r="D13" s="8" t="n">
        <v>14.2</v>
      </c>
      <c r="E13" s="8" t="inlineStr">
        <is>
          <t>TIR 30.7% (+15.7pp sobre hurdle)</t>
        </is>
      </c>
    </row>
    <row r="14">
      <c r="A14" s="8" t="inlineStr">
        <is>
          <t>Robustez Monte Carlo</t>
        </is>
      </c>
      <c r="B14" s="8" t="inlineStr">
        <is>
          <t>13%</t>
        </is>
      </c>
      <c r="C14" s="8" t="n">
        <v>76.5</v>
      </c>
      <c r="D14" s="8" t="n">
        <v>9.9</v>
      </c>
      <c r="E14" s="8" t="inlineStr">
        <is>
          <t>Prob(TIR&gt;WACC) = 76% en 1000+ sims</t>
        </is>
      </c>
    </row>
    <row r="15">
      <c r="A15" s="8" t="inlineStr">
        <is>
          <t>Bancabilidad DSCR</t>
        </is>
      </c>
      <c r="B15" s="8" t="inlineStr">
        <is>
          <t>12%</t>
        </is>
      </c>
      <c r="C15" s="8" t="n">
        <v>100</v>
      </c>
      <c r="D15" s="8" t="n">
        <v>12</v>
      </c>
      <c r="E15" s="8" t="inlineStr">
        <is>
          <t>DSCR 14.38 — bancable holgado</t>
        </is>
      </c>
    </row>
    <row r="16">
      <c r="A16" s="8" t="inlineStr">
        <is>
          <t>Diversificación marca</t>
        </is>
      </c>
      <c r="B16" s="8" t="inlineStr">
        <is>
          <t>8%</t>
        </is>
      </c>
      <c r="C16" s="8" t="n">
        <v>50</v>
      </c>
      <c r="D16" s="8" t="n">
        <v>4</v>
      </c>
      <c r="E16" s="8" t="inlineStr">
        <is>
          <t>Sin desglose por marca</t>
        </is>
      </c>
    </row>
    <row r="17">
      <c r="A17" s="8" t="inlineStr">
        <is>
          <t>ESG carbono</t>
        </is>
      </c>
      <c r="B17" s="8" t="inlineStr">
        <is>
          <t>10%</t>
        </is>
      </c>
      <c r="C17" s="8" t="n">
        <v>100</v>
      </c>
      <c r="D17" s="8" t="n">
        <v>10</v>
      </c>
      <c r="E17" s="8" t="inlineStr">
        <is>
          <t>Carbono negativo (-53,028 ton CO2eq 5y)</t>
        </is>
      </c>
    </row>
    <row r="18">
      <c r="A18" s="8" t="inlineStr">
        <is>
          <t>Compliance regulatorio</t>
        </is>
      </c>
      <c r="B18" s="8" t="inlineStr">
        <is>
          <t>8%</t>
        </is>
      </c>
      <c r="C18" s="8" t="n">
        <v>100</v>
      </c>
      <c r="D18" s="8" t="n">
        <v>8</v>
      </c>
      <c r="E18" s="8" t="inlineStr">
        <is>
          <t>Sin obligaciones pendientes</t>
        </is>
      </c>
    </row>
    <row r="19">
      <c r="A19" s="8" t="inlineStr">
        <is>
          <t>Resiliencia (break-even)</t>
        </is>
      </c>
      <c r="B19" s="8" t="inlineStr">
        <is>
          <t>8%</t>
        </is>
      </c>
      <c r="C19" s="8" t="n">
        <v>100</v>
      </c>
      <c r="D19" s="8" t="n">
        <v>8</v>
      </c>
      <c r="E19" s="8" t="inlineStr">
        <is>
          <t>Colchón promedio 73%</t>
        </is>
      </c>
    </row>
    <row r="20">
      <c r="A20" s="8" t="inlineStr">
        <is>
          <t>Madurez operativa</t>
        </is>
      </c>
      <c r="B20" s="8" t="inlineStr">
        <is>
          <t>8%</t>
        </is>
      </c>
      <c r="C20" s="8" t="n">
        <v>75</v>
      </c>
      <c r="D20" s="8" t="n">
        <v>6</v>
      </c>
      <c r="E20" s="8" t="inlineStr">
        <is>
          <t>EBITDA año 2 positivo (ramp-up año 1)</t>
        </is>
      </c>
    </row>
    <row r="21">
      <c r="A21" s="8" t="inlineStr">
        <is>
          <t>Calidad datos (matriz)</t>
        </is>
      </c>
      <c r="B21" s="8" t="inlineStr">
        <is>
          <t>8%</t>
        </is>
      </c>
      <c r="C21" s="8" t="n">
        <v>21.2</v>
      </c>
      <c r="D21" s="8" t="n">
        <v>1.7</v>
      </c>
      <c r="E21" s="8" t="inlineStr">
        <is>
          <t>0 validadas + 70 provisorias de 165 celdas</t>
        </is>
      </c>
    </row>
    <row r="22">
      <c r="A22" s="8" t="inlineStr">
        <is>
          <t>Avance Data Room DD</t>
        </is>
      </c>
      <c r="B22" s="8" t="inlineStr">
        <is>
          <t>7%</t>
        </is>
      </c>
      <c r="C22" s="8" t="n">
        <v>39</v>
      </c>
      <c r="D22" s="8" t="n">
        <v>2.7</v>
      </c>
      <c r="E22" s="8" t="inlineStr">
        <is>
          <t>11 completos + 10 parciales de 41 items DD</t>
        </is>
      </c>
    </row>
  </sheetData>
  <mergeCells count="9">
    <mergeCell ref="A9:H9"/>
    <mergeCell ref="E6:F6"/>
    <mergeCell ref="C6:D6"/>
    <mergeCell ref="C5:D5"/>
    <mergeCell ref="A5:B5"/>
    <mergeCell ref="G5:H5"/>
    <mergeCell ref="E5:F5"/>
    <mergeCell ref="G6:H6"/>
    <mergeCell ref="A6:B6"/>
  </mergeCells>
  <conditionalFormatting sqref="C13:C22">
    <cfRule type="colorScale" priority="1">
      <colorScale>
        <cfvo type="num" val="0"/>
        <cfvo type="num" val="50"/>
        <cfvo type="num" val="100"/>
        <color rgb="00FF3B30"/>
        <color rgb="00FFCC00"/>
        <color rgb="001A8A1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Plan 5 años — EERR anual</t>
        </is>
      </c>
    </row>
    <row r="2">
      <c r="A2" s="2" t="inlineStr">
        <is>
          <t>Ingresos / EBITDA / CapEx por año del proyecto</t>
        </is>
      </c>
    </row>
    <row r="4">
      <c r="A4" s="7" t="inlineStr">
        <is>
          <t>Año</t>
        </is>
      </c>
      <c r="B4" s="7" t="inlineStr">
        <is>
          <t>Ingresos (CLP)</t>
        </is>
      </c>
      <c r="C4" s="7" t="inlineStr">
        <is>
          <t>EBITDA (CLP)</t>
        </is>
      </c>
      <c r="D4" s="7" t="inlineStr">
        <is>
          <t>CapEx (CLP)</t>
        </is>
      </c>
      <c r="E4" s="7" t="inlineStr">
        <is>
          <t>EBITDA Margin</t>
        </is>
      </c>
      <c r="F4" s="7" t="inlineStr">
        <is>
          <t>Ratio CapEx/Ventas</t>
        </is>
      </c>
    </row>
    <row r="5">
      <c r="A5" s="8" t="n">
        <v>1</v>
      </c>
      <c r="B5" s="9" t="n">
        <v>3323260869.565217</v>
      </c>
      <c r="C5" s="9" t="n">
        <v>-114306521.7391305</v>
      </c>
      <c r="D5" s="9" t="n">
        <v>3000000000</v>
      </c>
      <c r="E5" s="10">
        <f>IFERROR(C5/B5, 0)</f>
        <v/>
      </c>
      <c r="F5" s="10">
        <f>IFERROR(D5/B5, 0)</f>
        <v/>
      </c>
    </row>
    <row r="6">
      <c r="A6" s="8" t="n">
        <v>2</v>
      </c>
      <c r="B6" s="9" t="n">
        <v>8398637362.637365</v>
      </c>
      <c r="C6" s="9" t="n">
        <v>2389112142.857144</v>
      </c>
      <c r="D6" s="9" t="n">
        <v>5000000000</v>
      </c>
      <c r="E6" s="10">
        <f>IFERROR(C6/B6, 0)</f>
        <v/>
      </c>
      <c r="F6" s="10">
        <f>IFERROR(D6/B6, 0)</f>
        <v/>
      </c>
    </row>
    <row r="7">
      <c r="A7" s="8" t="n">
        <v>3</v>
      </c>
      <c r="B7" s="9" t="n">
        <v>15543077839.21736</v>
      </c>
      <c r="C7" s="9" t="n">
        <v>6506400714.589538</v>
      </c>
      <c r="D7" s="9" t="n">
        <v>4000000000</v>
      </c>
      <c r="E7" s="10">
        <f>IFERROR(C7/B7, 0)</f>
        <v/>
      </c>
      <c r="F7" s="10">
        <f>IFERROR(D7/B7, 0)</f>
        <v/>
      </c>
    </row>
    <row r="8">
      <c r="A8" s="8" t="n">
        <v>4</v>
      </c>
      <c r="B8" s="9" t="n">
        <v>23404392958.54628</v>
      </c>
      <c r="C8" s="9" t="n">
        <v>11765001507.6661</v>
      </c>
      <c r="D8" s="9" t="n">
        <v>2000000000</v>
      </c>
      <c r="E8" s="10">
        <f>IFERROR(C8/B8, 0)</f>
        <v/>
      </c>
      <c r="F8" s="10">
        <f>IFERROR(D8/B8, 0)</f>
        <v/>
      </c>
    </row>
    <row r="9">
      <c r="A9" s="8" t="n">
        <v>5</v>
      </c>
      <c r="B9" s="9" t="n">
        <v>26764418341.0613</v>
      </c>
      <c r="C9" s="9" t="n">
        <v>14094746306.02782</v>
      </c>
      <c r="D9" s="9" t="n">
        <v>1000000000</v>
      </c>
      <c r="E9" s="10">
        <f>IFERROR(C9/B9, 0)</f>
        <v/>
      </c>
      <c r="F9" s="10">
        <f>IFERROR(D9/B9, 0)</f>
        <v/>
      </c>
    </row>
    <row r="10">
      <c r="A10" s="11" t="inlineStr">
        <is>
          <t>TOTAL</t>
        </is>
      </c>
      <c r="B10" s="12">
        <f>SUM(B5:B9)</f>
        <v/>
      </c>
      <c r="C10" s="12">
        <f>SUM(C5:C9)</f>
        <v/>
      </c>
      <c r="D10" s="12">
        <f>SUM(D5:D9)</f>
        <v/>
      </c>
      <c r="E10" s="13" t="n"/>
      <c r="F10" s="13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22" customWidth="1" min="4" max="4"/>
    <col width="14" customWidth="1" min="5" max="5"/>
  </cols>
  <sheetData>
    <row r="1">
      <c r="A1" s="1" t="inlineStr">
        <is>
          <t>Balance de masa</t>
        </is>
      </c>
    </row>
    <row r="2">
      <c r="A2" s="2" t="inlineStr">
        <is>
          <t>Flujo MMPP -Productos final (régimen pleno)</t>
        </is>
      </c>
    </row>
    <row r="4">
      <c r="A4" s="7" t="inlineStr">
        <is>
          <t>MMPP</t>
        </is>
      </c>
      <c r="B4" s="7" t="inlineStr">
        <is>
          <t>Volumen anual (ton)</t>
        </is>
      </c>
      <c r="C4" s="7" t="inlineStr">
        <is>
          <t>Rendimiento</t>
        </is>
      </c>
      <c r="D4" s="7" t="inlineStr">
        <is>
          <t>Producto final (ton)</t>
        </is>
      </c>
      <c r="E4" s="7" t="inlineStr">
        <is>
          <t>% del total</t>
        </is>
      </c>
    </row>
    <row r="5">
      <c r="A5" s="8" t="inlineStr">
        <is>
          <t>ALPERUJO</t>
        </is>
      </c>
      <c r="B5" s="8" t="n">
        <v>20000</v>
      </c>
      <c r="C5" s="10" t="n">
        <v>0.39</v>
      </c>
      <c r="D5" s="8">
        <f>B5*C5</f>
        <v/>
      </c>
      <c r="E5" s="10">
        <f>D5/SUM($D$5:$D$9)</f>
        <v/>
      </c>
    </row>
    <row r="6">
      <c r="A6" s="8" t="inlineStr">
        <is>
          <t>TOMASA</t>
        </is>
      </c>
      <c r="B6" s="8" t="n">
        <v>12500</v>
      </c>
      <c r="C6" s="10" t="n">
        <v>0.2</v>
      </c>
      <c r="D6" s="8">
        <f>B6*C6</f>
        <v/>
      </c>
      <c r="E6" s="10">
        <f>D6/SUM($D$5:$D$9)</f>
        <v/>
      </c>
    </row>
    <row r="7">
      <c r="A7" s="8" t="inlineStr">
        <is>
          <t>POMASA</t>
        </is>
      </c>
      <c r="B7" s="8" t="n">
        <v>10000</v>
      </c>
      <c r="C7" s="10" t="n">
        <v>0.22</v>
      </c>
      <c r="D7" s="8">
        <f>B7*C7</f>
        <v/>
      </c>
      <c r="E7" s="10">
        <f>D7/SUM($D$5:$D$9)</f>
        <v/>
      </c>
    </row>
    <row r="8">
      <c r="A8" s="8" t="inlineStr">
        <is>
          <t>ORUJO_UVA</t>
        </is>
      </c>
      <c r="B8" s="8" t="n">
        <v>5000</v>
      </c>
      <c r="C8" s="10" t="n">
        <v>0.18</v>
      </c>
      <c r="D8" s="8">
        <f>B8*C8</f>
        <v/>
      </c>
      <c r="E8" s="10">
        <f>D8/SUM($D$5:$D$9)</f>
        <v/>
      </c>
    </row>
    <row r="9">
      <c r="A9" s="8" t="inlineStr">
        <is>
          <t>LEVADURA</t>
        </is>
      </c>
      <c r="B9" s="8" t="n">
        <v>2500</v>
      </c>
      <c r="C9" s="10" t="n">
        <v>0.3</v>
      </c>
      <c r="D9" s="8">
        <f>B9*C9</f>
        <v/>
      </c>
      <c r="E9" s="10">
        <f>D9/SUM($D$5:$D$9)</f>
        <v/>
      </c>
    </row>
    <row r="10">
      <c r="A10" s="11" t="inlineStr">
        <is>
          <t>TOTAL</t>
        </is>
      </c>
      <c r="B10" s="11">
        <f>SUM(B5:B9)</f>
        <v/>
      </c>
      <c r="C10" s="11" t="n"/>
      <c r="D10" s="11">
        <f>SUM(D5:D9)</f>
        <v/>
      </c>
      <c r="E10" s="11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Variables Ingredientes Plan 5 Años</t>
        </is>
      </c>
    </row>
    <row r="2">
      <c r="A2" s="2" t="inlineStr">
        <is>
          <t>Matriz canónica del Excel original — 11 productos x 15 variables = 165 celdas</t>
        </is>
      </c>
    </row>
    <row r="4">
      <c r="B4" s="7" t="inlineStr">
        <is>
          <t>Base Harinas y Aceite</t>
        </is>
      </c>
      <c r="G4" s="7" t="inlineStr">
        <is>
          <t>Productos Finales II</t>
        </is>
      </c>
      <c r="I4" s="7" t="inlineStr">
        <is>
          <t>Productos PTEC</t>
        </is>
      </c>
    </row>
    <row r="5">
      <c r="A5" s="7" t="inlineStr">
        <is>
          <t>Variable / Producto</t>
        </is>
      </c>
      <c r="B5" s="7" t="inlineStr">
        <is>
          <t>H. Alperujo</t>
        </is>
      </c>
      <c r="C5" s="7" t="inlineStr">
        <is>
          <t>Ac. Alperujo</t>
        </is>
      </c>
      <c r="D5" s="7" t="inlineStr">
        <is>
          <t>H. Orujo</t>
        </is>
      </c>
      <c r="E5" s="7" t="inlineStr">
        <is>
          <t>H. Tomasa</t>
        </is>
      </c>
      <c r="F5" s="7" t="inlineStr">
        <is>
          <t>H. Pomasa</t>
        </is>
      </c>
      <c r="G5" s="7" t="inlineStr">
        <is>
          <t>Pectina*</t>
        </is>
      </c>
      <c r="H5" s="7" t="inlineStr">
        <is>
          <t>Licopeno*</t>
        </is>
      </c>
      <c r="I5" s="7" t="inlineStr">
        <is>
          <t>Proteína Unicel</t>
        </is>
      </c>
      <c r="J5" s="7" t="inlineStr">
        <is>
          <t>Antioxidante</t>
        </is>
      </c>
      <c r="K5" s="7" t="inlineStr">
        <is>
          <t>Aglomerante</t>
        </is>
      </c>
      <c r="L5" s="7" t="inlineStr">
        <is>
          <t>Umami</t>
        </is>
      </c>
    </row>
    <row r="6">
      <c r="A6" s="14" t="inlineStr">
        <is>
          <t>Volumen Subproductos</t>
        </is>
      </c>
      <c r="B6" s="15" t="inlineStr">
        <is>
          <t>OK*</t>
        </is>
      </c>
      <c r="C6" s="15" t="inlineStr">
        <is>
          <t>OK*</t>
        </is>
      </c>
      <c r="D6" s="15" t="inlineStr">
        <is>
          <t>OK*</t>
        </is>
      </c>
      <c r="E6" s="15" t="inlineStr">
        <is>
          <t>OK*</t>
        </is>
      </c>
      <c r="F6" s="15" t="inlineStr">
        <is>
          <t>OK*</t>
        </is>
      </c>
      <c r="G6" s="15" t="inlineStr">
        <is>
          <t>OK*</t>
        </is>
      </c>
      <c r="H6" s="15" t="inlineStr">
        <is>
          <t>OK*</t>
        </is>
      </c>
      <c r="I6" s="15" t="inlineStr">
        <is>
          <t>OK*</t>
        </is>
      </c>
      <c r="J6" s="15" t="inlineStr">
        <is>
          <t>OK*</t>
        </is>
      </c>
      <c r="K6" s="15" t="inlineStr">
        <is>
          <t>OK*</t>
        </is>
      </c>
      <c r="L6" s="15" t="inlineStr">
        <is>
          <t>OK*</t>
        </is>
      </c>
    </row>
    <row r="7">
      <c r="A7" s="14" t="inlineStr">
        <is>
          <t>Costo Transporte Subproducto</t>
        </is>
      </c>
      <c r="B7" s="16" t="inlineStr">
        <is>
          <t>PD</t>
        </is>
      </c>
      <c r="C7" s="16" t="inlineStr">
        <is>
          <t>PD</t>
        </is>
      </c>
      <c r="D7" s="16" t="inlineStr">
        <is>
          <t>PD</t>
        </is>
      </c>
      <c r="E7" s="16" t="inlineStr">
        <is>
          <t>PD</t>
        </is>
      </c>
      <c r="F7" s="16" t="inlineStr">
        <is>
          <t>PD</t>
        </is>
      </c>
      <c r="G7" s="16" t="inlineStr">
        <is>
          <t>PD</t>
        </is>
      </c>
      <c r="H7" s="16" t="inlineStr">
        <is>
          <t>PD</t>
        </is>
      </c>
      <c r="I7" s="16" t="inlineStr">
        <is>
          <t>PD</t>
        </is>
      </c>
      <c r="J7" s="16" t="inlineStr">
        <is>
          <t>PD</t>
        </is>
      </c>
      <c r="K7" s="16" t="inlineStr">
        <is>
          <t>PD</t>
        </is>
      </c>
      <c r="L7" s="16" t="inlineStr">
        <is>
          <t>PD</t>
        </is>
      </c>
    </row>
    <row r="8">
      <c r="A8" s="14" t="inlineStr">
        <is>
          <t>Precio Recepción Subproducto</t>
        </is>
      </c>
      <c r="B8" s="16" t="inlineStr">
        <is>
          <t>PD</t>
        </is>
      </c>
      <c r="C8" s="16" t="inlineStr">
        <is>
          <t>PD</t>
        </is>
      </c>
      <c r="D8" s="16" t="inlineStr">
        <is>
          <t>PD</t>
        </is>
      </c>
      <c r="E8" s="16" t="inlineStr">
        <is>
          <t>PD</t>
        </is>
      </c>
      <c r="F8" s="16" t="inlineStr">
        <is>
          <t>PD</t>
        </is>
      </c>
      <c r="G8" s="16" t="inlineStr">
        <is>
          <t>PD</t>
        </is>
      </c>
      <c r="H8" s="16" t="inlineStr">
        <is>
          <t>PD</t>
        </is>
      </c>
      <c r="I8" s="16" t="inlineStr">
        <is>
          <t>PD</t>
        </is>
      </c>
      <c r="J8" s="16" t="inlineStr">
        <is>
          <t>PD</t>
        </is>
      </c>
      <c r="K8" s="16" t="inlineStr">
        <is>
          <t>PD</t>
        </is>
      </c>
      <c r="L8" s="16" t="inlineStr">
        <is>
          <t>PD</t>
        </is>
      </c>
    </row>
    <row r="9">
      <c r="A9" s="14" t="inlineStr">
        <is>
          <t>Rendimiento</t>
        </is>
      </c>
      <c r="B9" s="15" t="inlineStr">
        <is>
          <t>OK*</t>
        </is>
      </c>
      <c r="C9" s="15" t="inlineStr">
        <is>
          <t>OK*</t>
        </is>
      </c>
      <c r="D9" s="15" t="inlineStr">
        <is>
          <t>OK*</t>
        </is>
      </c>
      <c r="E9" s="15" t="inlineStr">
        <is>
          <t>OK*</t>
        </is>
      </c>
      <c r="F9" s="15" t="inlineStr">
        <is>
          <t>OK*</t>
        </is>
      </c>
      <c r="G9" s="15" t="inlineStr">
        <is>
          <t>OK*</t>
        </is>
      </c>
      <c r="H9" s="15" t="inlineStr">
        <is>
          <t>OK*</t>
        </is>
      </c>
      <c r="I9" s="16" t="inlineStr">
        <is>
          <t>PD</t>
        </is>
      </c>
      <c r="J9" s="16" t="inlineStr">
        <is>
          <t>PD</t>
        </is>
      </c>
      <c r="K9" s="16" t="inlineStr">
        <is>
          <t>PD</t>
        </is>
      </c>
      <c r="L9" s="16" t="inlineStr">
        <is>
          <t>PD</t>
        </is>
      </c>
    </row>
    <row r="10">
      <c r="A10" s="14" t="inlineStr">
        <is>
          <t>Volumen Producto Final</t>
        </is>
      </c>
      <c r="B10" s="15" t="inlineStr">
        <is>
          <t>OK*</t>
        </is>
      </c>
      <c r="C10" s="15" t="inlineStr">
        <is>
          <t>OK*</t>
        </is>
      </c>
      <c r="D10" s="15" t="inlineStr">
        <is>
          <t>OK*</t>
        </is>
      </c>
      <c r="E10" s="15" t="inlineStr">
        <is>
          <t>OK*</t>
        </is>
      </c>
      <c r="F10" s="15" t="inlineStr">
        <is>
          <t>OK*</t>
        </is>
      </c>
      <c r="G10" s="15" t="inlineStr">
        <is>
          <t>OK*</t>
        </is>
      </c>
      <c r="H10" s="15" t="inlineStr">
        <is>
          <t>OK*</t>
        </is>
      </c>
      <c r="I10" s="16" t="inlineStr">
        <is>
          <t>PD</t>
        </is>
      </c>
      <c r="J10" s="16" t="inlineStr">
        <is>
          <t>PD</t>
        </is>
      </c>
      <c r="K10" s="16" t="inlineStr">
        <is>
          <t>PD</t>
        </is>
      </c>
      <c r="L10" s="16" t="inlineStr">
        <is>
          <t>PD</t>
        </is>
      </c>
    </row>
    <row r="11">
      <c r="A11" s="14" t="inlineStr">
        <is>
          <t>Precio de Venta</t>
        </is>
      </c>
      <c r="B11" s="15" t="inlineStr">
        <is>
          <t>OK*</t>
        </is>
      </c>
      <c r="C11" s="15" t="inlineStr">
        <is>
          <t>OK*</t>
        </is>
      </c>
      <c r="D11" s="15" t="inlineStr">
        <is>
          <t>OK*</t>
        </is>
      </c>
      <c r="E11" s="15" t="inlineStr">
        <is>
          <t>OK*</t>
        </is>
      </c>
      <c r="F11" s="15" t="inlineStr">
        <is>
          <t>OK*</t>
        </is>
      </c>
      <c r="G11" s="15" t="inlineStr">
        <is>
          <t>OK*</t>
        </is>
      </c>
      <c r="H11" s="15" t="inlineStr">
        <is>
          <t>OK*</t>
        </is>
      </c>
      <c r="I11" s="16" t="inlineStr">
        <is>
          <t>PD</t>
        </is>
      </c>
      <c r="J11" s="16" t="inlineStr">
        <is>
          <t>PD</t>
        </is>
      </c>
      <c r="K11" s="16" t="inlineStr">
        <is>
          <t>PD</t>
        </is>
      </c>
      <c r="L11" s="16" t="inlineStr">
        <is>
          <t>PD</t>
        </is>
      </c>
    </row>
    <row r="12">
      <c r="A12" s="14" t="inlineStr">
        <is>
          <t>Costo producción</t>
        </is>
      </c>
      <c r="B12" s="15" t="inlineStr">
        <is>
          <t>OK*</t>
        </is>
      </c>
      <c r="C12" s="15" t="inlineStr">
        <is>
          <t>OK*</t>
        </is>
      </c>
      <c r="D12" s="15" t="inlineStr">
        <is>
          <t>OK*</t>
        </is>
      </c>
      <c r="E12" s="15" t="inlineStr">
        <is>
          <t>OK*</t>
        </is>
      </c>
      <c r="F12" s="15" t="inlineStr">
        <is>
          <t>OK*</t>
        </is>
      </c>
      <c r="G12" s="16" t="inlineStr">
        <is>
          <t>PD</t>
        </is>
      </c>
      <c r="H12" s="16" t="inlineStr">
        <is>
          <t>PD</t>
        </is>
      </c>
      <c r="I12" s="16" t="inlineStr">
        <is>
          <t>PD</t>
        </is>
      </c>
      <c r="J12" s="16" t="inlineStr">
        <is>
          <t>PD</t>
        </is>
      </c>
      <c r="K12" s="16" t="inlineStr">
        <is>
          <t>PD</t>
        </is>
      </c>
      <c r="L12" s="16" t="inlineStr">
        <is>
          <t>PD</t>
        </is>
      </c>
    </row>
    <row r="13">
      <c r="A13" s="14" t="inlineStr">
        <is>
          <t>Material de envase</t>
        </is>
      </c>
      <c r="B13" s="15" t="inlineStr">
        <is>
          <t>OK*</t>
        </is>
      </c>
      <c r="C13" s="15" t="inlineStr">
        <is>
          <t>OK*</t>
        </is>
      </c>
      <c r="D13" s="15" t="inlineStr">
        <is>
          <t>OK*</t>
        </is>
      </c>
      <c r="E13" s="15" t="inlineStr">
        <is>
          <t>OK*</t>
        </is>
      </c>
      <c r="F13" s="15" t="inlineStr">
        <is>
          <t>OK*</t>
        </is>
      </c>
      <c r="G13" s="15" t="inlineStr">
        <is>
          <t>OK*</t>
        </is>
      </c>
      <c r="H13" s="15" t="inlineStr">
        <is>
          <t>OK*</t>
        </is>
      </c>
      <c r="I13" s="15" t="inlineStr">
        <is>
          <t>OK*</t>
        </is>
      </c>
      <c r="J13" s="15" t="inlineStr">
        <is>
          <t>OK*</t>
        </is>
      </c>
      <c r="K13" s="15" t="inlineStr">
        <is>
          <t>OK*</t>
        </is>
      </c>
      <c r="L13" s="15" t="inlineStr">
        <is>
          <t>OK*</t>
        </is>
      </c>
    </row>
    <row r="14">
      <c r="A14" s="14" t="inlineStr">
        <is>
          <t>Costo Almacenamiento</t>
        </is>
      </c>
      <c r="B14" s="15" t="inlineStr">
        <is>
          <t>OK*</t>
        </is>
      </c>
      <c r="C14" s="15" t="inlineStr">
        <is>
          <t>OK*</t>
        </is>
      </c>
      <c r="D14" s="15" t="inlineStr">
        <is>
          <t>OK*</t>
        </is>
      </c>
      <c r="E14" s="15" t="inlineStr">
        <is>
          <t>OK*</t>
        </is>
      </c>
      <c r="F14" s="15" t="inlineStr">
        <is>
          <t>OK*</t>
        </is>
      </c>
      <c r="G14" s="15" t="inlineStr">
        <is>
          <t>OK*</t>
        </is>
      </c>
      <c r="H14" s="15" t="inlineStr">
        <is>
          <t>OK*</t>
        </is>
      </c>
      <c r="I14" s="15" t="inlineStr">
        <is>
          <t>OK*</t>
        </is>
      </c>
      <c r="J14" s="15" t="inlineStr">
        <is>
          <t>OK*</t>
        </is>
      </c>
      <c r="K14" s="15" t="inlineStr">
        <is>
          <t>OK*</t>
        </is>
      </c>
      <c r="L14" s="15" t="inlineStr">
        <is>
          <t>OK*</t>
        </is>
      </c>
    </row>
    <row r="15">
      <c r="A15" s="14" t="inlineStr">
        <is>
          <t>Costo Transporte Almac. y Clientes</t>
        </is>
      </c>
      <c r="B15" s="15" t="inlineStr">
        <is>
          <t>OK*</t>
        </is>
      </c>
      <c r="C15" s="15" t="inlineStr">
        <is>
          <t>OK*</t>
        </is>
      </c>
      <c r="D15" s="15" t="inlineStr">
        <is>
          <t>OK*</t>
        </is>
      </c>
      <c r="E15" s="15" t="inlineStr">
        <is>
          <t>OK*</t>
        </is>
      </c>
      <c r="F15" s="15" t="inlineStr">
        <is>
          <t>OK*</t>
        </is>
      </c>
      <c r="G15" s="15" t="inlineStr">
        <is>
          <t>OK*</t>
        </is>
      </c>
      <c r="H15" s="15" t="inlineStr">
        <is>
          <t>OK*</t>
        </is>
      </c>
      <c r="I15" s="15" t="inlineStr">
        <is>
          <t>OK*</t>
        </is>
      </c>
      <c r="J15" s="15" t="inlineStr">
        <is>
          <t>OK*</t>
        </is>
      </c>
      <c r="K15" s="15" t="inlineStr">
        <is>
          <t>OK*</t>
        </is>
      </c>
      <c r="L15" s="15" t="inlineStr">
        <is>
          <t>OK*</t>
        </is>
      </c>
    </row>
    <row r="16">
      <c r="A16" s="14" t="inlineStr">
        <is>
          <t>Costo laboratorio</t>
        </is>
      </c>
      <c r="B16" s="16" t="inlineStr">
        <is>
          <t>PD</t>
        </is>
      </c>
      <c r="C16" s="16" t="inlineStr">
        <is>
          <t>PD</t>
        </is>
      </c>
      <c r="D16" s="16" t="inlineStr">
        <is>
          <t>PD</t>
        </is>
      </c>
      <c r="E16" s="16" t="inlineStr">
        <is>
          <t>PD</t>
        </is>
      </c>
      <c r="F16" s="16" t="inlineStr">
        <is>
          <t>PD</t>
        </is>
      </c>
      <c r="G16" s="16" t="inlineStr">
        <is>
          <t>PD</t>
        </is>
      </c>
      <c r="H16" s="16" t="inlineStr">
        <is>
          <t>PD</t>
        </is>
      </c>
      <c r="I16" s="16" t="inlineStr">
        <is>
          <t>PD</t>
        </is>
      </c>
      <c r="J16" s="16" t="inlineStr">
        <is>
          <t>PD</t>
        </is>
      </c>
      <c r="K16" s="16" t="inlineStr">
        <is>
          <t>PD</t>
        </is>
      </c>
      <c r="L16" s="16" t="inlineStr">
        <is>
          <t>PD</t>
        </is>
      </c>
    </row>
    <row r="17">
      <c r="A17" s="14" t="inlineStr">
        <is>
          <t>Costo Administración</t>
        </is>
      </c>
      <c r="B17" s="16" t="inlineStr">
        <is>
          <t>PD</t>
        </is>
      </c>
      <c r="C17" s="16" t="inlineStr">
        <is>
          <t>PD</t>
        </is>
      </c>
      <c r="D17" s="16" t="inlineStr">
        <is>
          <t>PD</t>
        </is>
      </c>
      <c r="E17" s="16" t="inlineStr">
        <is>
          <t>PD</t>
        </is>
      </c>
      <c r="F17" s="16" t="inlineStr">
        <is>
          <t>PD</t>
        </is>
      </c>
      <c r="G17" s="16" t="inlineStr">
        <is>
          <t>PD</t>
        </is>
      </c>
      <c r="H17" s="16" t="inlineStr">
        <is>
          <t>PD</t>
        </is>
      </c>
      <c r="I17" s="16" t="inlineStr">
        <is>
          <t>PD</t>
        </is>
      </c>
      <c r="J17" s="16" t="inlineStr">
        <is>
          <t>PD</t>
        </is>
      </c>
      <c r="K17" s="16" t="inlineStr">
        <is>
          <t>PD</t>
        </is>
      </c>
      <c r="L17" s="16" t="inlineStr">
        <is>
          <t>PD</t>
        </is>
      </c>
    </row>
    <row r="18">
      <c r="A18" s="14" t="inlineStr">
        <is>
          <t>Costo Energía</t>
        </is>
      </c>
      <c r="B18" s="16" t="inlineStr">
        <is>
          <t>PD</t>
        </is>
      </c>
      <c r="C18" s="16" t="inlineStr">
        <is>
          <t>PD</t>
        </is>
      </c>
      <c r="D18" s="16" t="inlineStr">
        <is>
          <t>PD</t>
        </is>
      </c>
      <c r="E18" s="16" t="inlineStr">
        <is>
          <t>PD</t>
        </is>
      </c>
      <c r="F18" s="16" t="inlineStr">
        <is>
          <t>PD</t>
        </is>
      </c>
      <c r="G18" s="16" t="inlineStr">
        <is>
          <t>PD</t>
        </is>
      </c>
      <c r="H18" s="16" t="inlineStr">
        <is>
          <t>PD</t>
        </is>
      </c>
      <c r="I18" s="16" t="inlineStr">
        <is>
          <t>PD</t>
        </is>
      </c>
      <c r="J18" s="16" t="inlineStr">
        <is>
          <t>PD</t>
        </is>
      </c>
      <c r="K18" s="16" t="inlineStr">
        <is>
          <t>PD</t>
        </is>
      </c>
      <c r="L18" s="16" t="inlineStr">
        <is>
          <t>PD</t>
        </is>
      </c>
    </row>
    <row r="19">
      <c r="A19" s="14" t="inlineStr">
        <is>
          <t>Costo Servicios Generales</t>
        </is>
      </c>
      <c r="B19" s="16" t="inlineStr">
        <is>
          <t>PD</t>
        </is>
      </c>
      <c r="C19" s="16" t="inlineStr">
        <is>
          <t>PD</t>
        </is>
      </c>
      <c r="D19" s="16" t="inlineStr">
        <is>
          <t>PD</t>
        </is>
      </c>
      <c r="E19" s="16" t="inlineStr">
        <is>
          <t>PD</t>
        </is>
      </c>
      <c r="F19" s="16" t="inlineStr">
        <is>
          <t>PD</t>
        </is>
      </c>
      <c r="G19" s="16" t="inlineStr">
        <is>
          <t>PD</t>
        </is>
      </c>
      <c r="H19" s="16" t="inlineStr">
        <is>
          <t>PD</t>
        </is>
      </c>
      <c r="I19" s="16" t="inlineStr">
        <is>
          <t>PD</t>
        </is>
      </c>
      <c r="J19" s="16" t="inlineStr">
        <is>
          <t>PD</t>
        </is>
      </c>
      <c r="K19" s="16" t="inlineStr">
        <is>
          <t>PD</t>
        </is>
      </c>
      <c r="L19" s="16" t="inlineStr">
        <is>
          <t>PD</t>
        </is>
      </c>
    </row>
    <row r="20">
      <c r="A20" s="14" t="inlineStr">
        <is>
          <t>Costo Mantención Industrial</t>
        </is>
      </c>
      <c r="B20" s="16" t="inlineStr">
        <is>
          <t>PD</t>
        </is>
      </c>
      <c r="C20" s="16" t="inlineStr">
        <is>
          <t>PD</t>
        </is>
      </c>
      <c r="D20" s="16" t="inlineStr">
        <is>
          <t>PD</t>
        </is>
      </c>
      <c r="E20" s="16" t="inlineStr">
        <is>
          <t>PD</t>
        </is>
      </c>
      <c r="F20" s="16" t="inlineStr">
        <is>
          <t>PD</t>
        </is>
      </c>
      <c r="G20" s="16" t="inlineStr">
        <is>
          <t>PD</t>
        </is>
      </c>
      <c r="H20" s="16" t="inlineStr">
        <is>
          <t>PD</t>
        </is>
      </c>
      <c r="I20" s="16" t="inlineStr">
        <is>
          <t>PD</t>
        </is>
      </c>
      <c r="J20" s="16" t="inlineStr">
        <is>
          <t>PD</t>
        </is>
      </c>
      <c r="K20" s="16" t="inlineStr">
        <is>
          <t>PD</t>
        </is>
      </c>
      <c r="L20" s="16" t="inlineStr">
        <is>
          <t>PD</t>
        </is>
      </c>
    </row>
    <row r="23">
      <c r="A23" s="17" t="inlineStr">
        <is>
          <t>Total celdas:</t>
        </is>
      </c>
      <c r="B23" t="n">
        <v>165</v>
      </c>
    </row>
    <row r="24">
      <c r="A24" s="18" t="inlineStr">
        <is>
          <t>OK Validado:</t>
        </is>
      </c>
      <c r="B24" t="n">
        <v>0</v>
      </c>
    </row>
    <row r="25">
      <c r="A25" s="19" t="inlineStr">
        <is>
          <t>OK Provisorio:</t>
        </is>
      </c>
      <c r="B25" t="n">
        <v>70</v>
      </c>
    </row>
    <row r="26">
      <c r="A26" s="20" t="inlineStr">
        <is>
          <t>PD (Por Definir):</t>
        </is>
      </c>
      <c r="B26" t="n">
        <v>95</v>
      </c>
    </row>
    <row r="27">
      <c r="A27" s="17" t="inlineStr">
        <is>
          <t>% Cubierto:</t>
        </is>
      </c>
      <c r="B27" t="inlineStr">
        <is>
          <t>42.4%</t>
        </is>
      </c>
    </row>
  </sheetData>
  <mergeCells count="3">
    <mergeCell ref="B4:F4"/>
    <mergeCell ref="G4:H4"/>
    <mergeCell ref="I4:L4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  <col width="12" customWidth="1" min="4" max="4"/>
    <col width="25" customWidth="1" min="5" max="5"/>
    <col width="35" customWidth="1" min="6" max="6"/>
  </cols>
  <sheetData>
    <row r="1">
      <c r="A1" s="1" t="inlineStr">
        <is>
          <t>Data Room — Due Diligence Checklist</t>
        </is>
      </c>
    </row>
    <row r="2">
      <c r="A2" s="2" t="inlineStr">
        <is>
          <t>41 items DD en 6 categorías · 39.0% avance ponderado</t>
        </is>
      </c>
    </row>
    <row r="4">
      <c r="A4" s="7" t="inlineStr">
        <is>
          <t>Item</t>
        </is>
      </c>
      <c r="B4" s="7" t="inlineStr">
        <is>
          <t>Categoría</t>
        </is>
      </c>
      <c r="C4" s="7" t="inlineStr">
        <is>
          <t>Estado</t>
        </is>
      </c>
      <c r="D4" s="7" t="inlineStr">
        <is>
          <t>Must-have</t>
        </is>
      </c>
      <c r="E4" s="7" t="inlineStr">
        <is>
          <t>Responsable</t>
        </is>
      </c>
      <c r="F4" s="7" t="inlineStr">
        <is>
          <t>Formato esperado</t>
        </is>
      </c>
    </row>
    <row r="5">
      <c r="A5" s="21" t="inlineStr">
        <is>
          <t>Escritura de constitución</t>
        </is>
      </c>
      <c r="B5" s="21" t="inlineStr">
        <is>
          <t>Corporativo y Legal</t>
        </is>
      </c>
      <c r="C5" s="22" t="inlineStr">
        <is>
          <t>FALTANTE</t>
        </is>
      </c>
      <c r="D5" s="21" t="inlineStr">
        <is>
          <t>✓ MUST</t>
        </is>
      </c>
      <c r="E5" s="21" t="inlineStr">
        <is>
          <t>Legal</t>
        </is>
      </c>
      <c r="F5" s="21" t="inlineStr">
        <is>
          <t>PDF escritura</t>
        </is>
      </c>
    </row>
    <row r="6">
      <c r="A6" s="21" t="inlineStr">
        <is>
          <t>Estatutos actualizados</t>
        </is>
      </c>
      <c r="B6" s="21" t="inlineStr">
        <is>
          <t>Corporativo y Legal</t>
        </is>
      </c>
      <c r="C6" s="22" t="inlineStr">
        <is>
          <t>FALTANTE</t>
        </is>
      </c>
      <c r="D6" s="21" t="inlineStr">
        <is>
          <t>✓ MUST</t>
        </is>
      </c>
      <c r="E6" s="21" t="inlineStr">
        <is>
          <t>Legal</t>
        </is>
      </c>
      <c r="F6" s="21" t="inlineStr">
        <is>
          <t>PDF</t>
        </is>
      </c>
    </row>
    <row r="7">
      <c r="A7" s="21" t="inlineStr">
        <is>
          <t>Certificado de vigencia</t>
        </is>
      </c>
      <c r="B7" s="21" t="inlineStr">
        <is>
          <t>Corporativo y Legal</t>
        </is>
      </c>
      <c r="C7" s="22" t="inlineStr">
        <is>
          <t>FALTANTE</t>
        </is>
      </c>
      <c r="D7" s="21" t="inlineStr">
        <is>
          <t>✓ MUST</t>
        </is>
      </c>
      <c r="E7" s="21" t="inlineStr">
        <is>
          <t>Legal</t>
        </is>
      </c>
      <c r="F7" s="21" t="inlineStr">
        <is>
          <t>PDF Registro Comercio</t>
        </is>
      </c>
    </row>
    <row r="8">
      <c r="A8" s="21" t="inlineStr">
        <is>
          <t>Estructura societaria</t>
        </is>
      </c>
      <c r="B8" s="21" t="inlineStr">
        <is>
          <t>Corporativo y Legal</t>
        </is>
      </c>
      <c r="C8" s="23" t="inlineStr">
        <is>
          <t>PARCIAL</t>
        </is>
      </c>
      <c r="D8" s="21" t="inlineStr">
        <is>
          <t>✓ MUST</t>
        </is>
      </c>
      <c r="E8" s="21" t="inlineStr">
        <is>
          <t>Legal</t>
        </is>
      </c>
      <c r="F8" s="21" t="inlineStr">
        <is>
          <t>PDF + Excel cap table</t>
        </is>
      </c>
    </row>
    <row r="9">
      <c r="A9" s="21" t="inlineStr">
        <is>
          <t>Patentes y marcas registradas</t>
        </is>
      </c>
      <c r="B9" s="21" t="inlineStr">
        <is>
          <t>Corporativo y Legal</t>
        </is>
      </c>
      <c r="C9" s="22" t="inlineStr">
        <is>
          <t>FALTANTE</t>
        </is>
      </c>
      <c r="D9" s="21" t="inlineStr">
        <is>
          <t>nice</t>
        </is>
      </c>
      <c r="E9" s="21" t="inlineStr">
        <is>
          <t>Legal / IP</t>
        </is>
      </c>
      <c r="F9" s="21" t="inlineStr">
        <is>
          <t>PDFs INAPI</t>
        </is>
      </c>
    </row>
    <row r="10">
      <c r="A10" s="21" t="inlineStr">
        <is>
          <t>Contratos vigentes con clientes</t>
        </is>
      </c>
      <c r="B10" s="21" t="inlineStr">
        <is>
          <t>Corporativo y Legal</t>
        </is>
      </c>
      <c r="C10" s="22" t="inlineStr">
        <is>
          <t>FALTANTE</t>
        </is>
      </c>
      <c r="D10" s="21" t="inlineStr">
        <is>
          <t>✓ MUST</t>
        </is>
      </c>
      <c r="E10" s="21" t="inlineStr">
        <is>
          <t>Comercial</t>
        </is>
      </c>
      <c r="F10" s="21" t="inlineStr">
        <is>
          <t>PDFs</t>
        </is>
      </c>
    </row>
    <row r="11">
      <c r="A11" s="21" t="inlineStr">
        <is>
          <t>Contratos con proveedores MMPP</t>
        </is>
      </c>
      <c r="B11" s="21" t="inlineStr">
        <is>
          <t>Corporativo y Legal</t>
        </is>
      </c>
      <c r="C11" s="22" t="inlineStr">
        <is>
          <t>FALTANTE</t>
        </is>
      </c>
      <c r="D11" s="21" t="inlineStr">
        <is>
          <t>✓ MUST</t>
        </is>
      </c>
      <c r="E11" s="21" t="inlineStr">
        <is>
          <t>Comercial</t>
        </is>
      </c>
      <c r="F11" s="21" t="inlineStr">
        <is>
          <t>PDFs</t>
        </is>
      </c>
    </row>
    <row r="12">
      <c r="A12" s="21" t="inlineStr">
        <is>
          <t>EERR histórico 3 años</t>
        </is>
      </c>
      <c r="B12" s="21" t="inlineStr">
        <is>
          <t>Financiero y Auditoría</t>
        </is>
      </c>
      <c r="C12" s="22" t="inlineStr">
        <is>
          <t>FALTANTE</t>
        </is>
      </c>
      <c r="D12" s="21" t="inlineStr">
        <is>
          <t>✓ MUST</t>
        </is>
      </c>
      <c r="E12" s="21" t="inlineStr">
        <is>
          <t>Contadora</t>
        </is>
      </c>
      <c r="F12" s="21" t="inlineStr">
        <is>
          <t>PDFs auditados</t>
        </is>
      </c>
    </row>
    <row r="13">
      <c r="A13" s="21" t="inlineStr">
        <is>
          <t>Modelo financiero proyecciones 5 años</t>
        </is>
      </c>
      <c r="B13" s="21" t="inlineStr">
        <is>
          <t>Financiero y Auditoría</t>
        </is>
      </c>
      <c r="C13" s="24" t="inlineStr">
        <is>
          <t>COMPLETO</t>
        </is>
      </c>
      <c r="D13" s="21" t="inlineStr">
        <is>
          <t>✓ MUST</t>
        </is>
      </c>
      <c r="E13" s="21" t="inlineStr">
        <is>
          <t>Plataforma</t>
        </is>
      </c>
      <c r="F13" s="21" t="inlineStr">
        <is>
          <t>Excel + PDF</t>
        </is>
      </c>
    </row>
    <row r="14">
      <c r="A14" s="21" t="inlineStr">
        <is>
          <t>Análisis de sensibilidad</t>
        </is>
      </c>
      <c r="B14" s="21" t="inlineStr">
        <is>
          <t>Financiero y Auditoría</t>
        </is>
      </c>
      <c r="C14" s="24" t="inlineStr">
        <is>
          <t>COMPLETO</t>
        </is>
      </c>
      <c r="D14" s="21" t="inlineStr">
        <is>
          <t>✓ MUST</t>
        </is>
      </c>
      <c r="E14" s="21" t="inlineStr">
        <is>
          <t>Plataforma</t>
        </is>
      </c>
      <c r="F14" s="21" t="inlineStr">
        <is>
          <t>PDF</t>
        </is>
      </c>
    </row>
    <row r="15">
      <c r="A15" s="21" t="inlineStr">
        <is>
          <t>Análisis Monte Carlo</t>
        </is>
      </c>
      <c r="B15" s="21" t="inlineStr">
        <is>
          <t>Financiero y Auditoría</t>
        </is>
      </c>
      <c r="C15" s="24" t="inlineStr">
        <is>
          <t>COMPLETO</t>
        </is>
      </c>
      <c r="D15" s="21" t="inlineStr">
        <is>
          <t>✓ MUST</t>
        </is>
      </c>
      <c r="E15" s="21" t="inlineStr">
        <is>
          <t>Plataforma</t>
        </is>
      </c>
      <c r="F15" s="21" t="inlineStr">
        <is>
          <t>Charts</t>
        </is>
      </c>
    </row>
    <row r="16">
      <c r="A16" s="21" t="inlineStr">
        <is>
          <t>Valoración exit (DCF + comparables)</t>
        </is>
      </c>
      <c r="B16" s="21" t="inlineStr">
        <is>
          <t>Financiero y Auditoría</t>
        </is>
      </c>
      <c r="C16" s="23" t="inlineStr">
        <is>
          <t>PARCIAL</t>
        </is>
      </c>
      <c r="D16" s="21" t="inlineStr">
        <is>
          <t>✓ MUST</t>
        </is>
      </c>
      <c r="E16" s="21" t="inlineStr">
        <is>
          <t>Plataforma + asesor</t>
        </is>
      </c>
      <c r="F16" s="21" t="inlineStr">
        <is>
          <t>PDF tearsheet</t>
        </is>
      </c>
    </row>
    <row r="17">
      <c r="A17" s="21" t="inlineStr">
        <is>
          <t>Estructura de deuda propuesta</t>
        </is>
      </c>
      <c r="B17" s="21" t="inlineStr">
        <is>
          <t>Financiero y Auditoría</t>
        </is>
      </c>
      <c r="C17" s="23" t="inlineStr">
        <is>
          <t>PARCIAL</t>
        </is>
      </c>
      <c r="D17" s="21" t="inlineStr">
        <is>
          <t>✓ MUST</t>
        </is>
      </c>
      <c r="E17" s="21" t="inlineStr">
        <is>
          <t>Finanzas / asesor</t>
        </is>
      </c>
      <c r="F17" s="21" t="inlineStr">
        <is>
          <t>Term sheets + plataforma</t>
        </is>
      </c>
    </row>
    <row r="18">
      <c r="A18" s="21" t="inlineStr">
        <is>
          <t>Auditor externo designado</t>
        </is>
      </c>
      <c r="B18" s="21" t="inlineStr">
        <is>
          <t>Financiero y Auditoría</t>
        </is>
      </c>
      <c r="C18" s="22" t="inlineStr">
        <is>
          <t>FALTANTE</t>
        </is>
      </c>
      <c r="D18" s="21" t="inlineStr">
        <is>
          <t>✓ MUST</t>
        </is>
      </c>
      <c r="E18" s="21" t="inlineStr">
        <is>
          <t>Finanzas</t>
        </is>
      </c>
      <c r="F18" s="21" t="inlineStr">
        <is>
          <t>Carta engagement</t>
        </is>
      </c>
    </row>
    <row r="19">
      <c r="A19" s="21" t="inlineStr">
        <is>
          <t>Pitch deck ejecutivo</t>
        </is>
      </c>
      <c r="B19" s="21" t="inlineStr">
        <is>
          <t>Comercial y Mercado</t>
        </is>
      </c>
      <c r="C19" s="23" t="inlineStr">
        <is>
          <t>PARCIAL</t>
        </is>
      </c>
      <c r="D19" s="21" t="inlineStr">
        <is>
          <t>✓ MUST</t>
        </is>
      </c>
      <c r="E19" s="21" t="inlineStr">
        <is>
          <t>Nicolás</t>
        </is>
      </c>
      <c r="F19" s="21" t="inlineStr">
        <is>
          <t>PDF + Keynote/PPT</t>
        </is>
      </c>
    </row>
    <row r="20">
      <c r="A20" s="21" t="inlineStr">
        <is>
          <t>Tearsheet ejecutivo PDF</t>
        </is>
      </c>
      <c r="B20" s="21" t="inlineStr">
        <is>
          <t>Comercial y Mercado</t>
        </is>
      </c>
      <c r="C20" s="24" t="inlineStr">
        <is>
          <t>COMPLETO</t>
        </is>
      </c>
      <c r="D20" s="21" t="inlineStr">
        <is>
          <t>✓ MUST</t>
        </is>
      </c>
      <c r="E20" s="21" t="inlineStr">
        <is>
          <t>Plataforma</t>
        </is>
      </c>
      <c r="F20" s="21" t="inlineStr">
        <is>
          <t>PDF</t>
        </is>
      </c>
    </row>
    <row r="21">
      <c r="A21" s="21" t="inlineStr">
        <is>
          <t>Estudio de mercado validado</t>
        </is>
      </c>
      <c r="B21" s="21" t="inlineStr">
        <is>
          <t>Comercial y Mercado</t>
        </is>
      </c>
      <c r="C21" s="23" t="inlineStr">
        <is>
          <t>PARCIAL</t>
        </is>
      </c>
      <c r="D21" s="21" t="inlineStr">
        <is>
          <t>✓ MUST</t>
        </is>
      </c>
      <c r="E21" s="21" t="inlineStr">
        <is>
          <t>Comercial / consultor</t>
        </is>
      </c>
      <c r="F21" s="21" t="inlineStr">
        <is>
          <t>PDF estudio mercado</t>
        </is>
      </c>
    </row>
    <row r="22">
      <c r="A22" s="21" t="inlineStr">
        <is>
          <t>Pipeline comercial</t>
        </is>
      </c>
      <c r="B22" s="21" t="inlineStr">
        <is>
          <t>Comercial y Mercado</t>
        </is>
      </c>
      <c r="C22" s="22" t="inlineStr">
        <is>
          <t>FALTANTE</t>
        </is>
      </c>
      <c r="D22" s="21" t="inlineStr">
        <is>
          <t>✓ MUST</t>
        </is>
      </c>
      <c r="E22" s="21" t="inlineStr">
        <is>
          <t>Sergio</t>
        </is>
      </c>
      <c r="F22" s="21" t="inlineStr">
        <is>
          <t>CRM o Excel</t>
        </is>
      </c>
    </row>
    <row r="23">
      <c r="A23" s="21" t="inlineStr">
        <is>
          <t>Benchmarking de precios</t>
        </is>
      </c>
      <c r="B23" s="21" t="inlineStr">
        <is>
          <t>Comercial y Mercado</t>
        </is>
      </c>
      <c r="C23" s="24" t="inlineStr">
        <is>
          <t>COMPLETO</t>
        </is>
      </c>
      <c r="D23" s="21" t="inlineStr">
        <is>
          <t>✓ MUST</t>
        </is>
      </c>
      <c r="E23" s="21" t="inlineStr">
        <is>
          <t>Plataforma</t>
        </is>
      </c>
      <c r="F23" s="21" t="inlineStr">
        <is>
          <t>Tabla precios</t>
        </is>
      </c>
    </row>
    <row r="24">
      <c r="A24" s="21" t="inlineStr">
        <is>
          <t>Comparables transacciones M&amp;A</t>
        </is>
      </c>
      <c r="B24" s="21" t="inlineStr">
        <is>
          <t>Comercial y Mercado</t>
        </is>
      </c>
      <c r="C24" s="23" t="inlineStr">
        <is>
          <t>PARCIAL</t>
        </is>
      </c>
      <c r="D24" s="21" t="inlineStr">
        <is>
          <t>nice</t>
        </is>
      </c>
      <c r="E24" s="21" t="inlineStr">
        <is>
          <t>Banca inversión</t>
        </is>
      </c>
      <c r="F24" s="21" t="inlineStr">
        <is>
          <t>PDF benchmarking</t>
        </is>
      </c>
    </row>
    <row r="25">
      <c r="A25" s="21" t="inlineStr">
        <is>
          <t>Estrategia go-to-market</t>
        </is>
      </c>
      <c r="B25" s="21" t="inlineStr">
        <is>
          <t>Comercial y Mercado</t>
        </is>
      </c>
      <c r="C25" s="22" t="inlineStr">
        <is>
          <t>FALTANTE</t>
        </is>
      </c>
      <c r="D25" s="21" t="inlineStr">
        <is>
          <t>✓ MUST</t>
        </is>
      </c>
      <c r="E25" s="21" t="inlineStr">
        <is>
          <t>Sergio</t>
        </is>
      </c>
      <c r="F25" s="21" t="inlineStr">
        <is>
          <t>PDF estrategia</t>
        </is>
      </c>
    </row>
    <row r="26">
      <c r="A26" s="21" t="inlineStr">
        <is>
          <t>Layout de planta + ingeniería</t>
        </is>
      </c>
      <c r="B26" s="21" t="inlineStr">
        <is>
          <t>Operacional y Técnico</t>
        </is>
      </c>
      <c r="C26" s="22" t="inlineStr">
        <is>
          <t>FALTANTE</t>
        </is>
      </c>
      <c r="D26" s="21" t="inlineStr">
        <is>
          <t>✓ MUST</t>
        </is>
      </c>
      <c r="E26" s="21" t="inlineStr">
        <is>
          <t>Ingeniería</t>
        </is>
      </c>
      <c r="F26" s="21" t="inlineStr">
        <is>
          <t>AutoCAD + PDF</t>
        </is>
      </c>
    </row>
    <row r="27">
      <c r="A27" s="21" t="inlineStr">
        <is>
          <t>Balance de masa validado</t>
        </is>
      </c>
      <c r="B27" s="21" t="inlineStr">
        <is>
          <t>Operacional y Técnico</t>
        </is>
      </c>
      <c r="C27" s="24" t="inlineStr">
        <is>
          <t>COMPLETO</t>
        </is>
      </c>
      <c r="D27" s="21" t="inlineStr">
        <is>
          <t>✓ MUST</t>
        </is>
      </c>
      <c r="E27" s="21" t="inlineStr">
        <is>
          <t>Plataforma</t>
        </is>
      </c>
      <c r="F27" s="21" t="inlineStr">
        <is>
          <t>Sankey + tabla</t>
        </is>
      </c>
    </row>
    <row r="28">
      <c r="A28" s="21" t="inlineStr">
        <is>
          <t>CapEx detallado por equipo</t>
        </is>
      </c>
      <c r="B28" s="21" t="inlineStr">
        <is>
          <t>Operacional y Técnico</t>
        </is>
      </c>
      <c r="C28" s="23" t="inlineStr">
        <is>
          <t>PARCIAL</t>
        </is>
      </c>
      <c r="D28" s="21" t="inlineStr">
        <is>
          <t>✓ MUST</t>
        </is>
      </c>
      <c r="E28" s="21" t="inlineStr">
        <is>
          <t>Jaime + proveedores</t>
        </is>
      </c>
      <c r="F28" s="21" t="inlineStr">
        <is>
          <t>Excel + cotizaciones PDF</t>
        </is>
      </c>
    </row>
    <row r="29">
      <c r="A29" s="21" t="inlineStr">
        <is>
          <t>Agenda de recepción MMPP</t>
        </is>
      </c>
      <c r="B29" s="21" t="inlineStr">
        <is>
          <t>Operacional y Técnico</t>
        </is>
      </c>
      <c r="C29" s="24" t="inlineStr">
        <is>
          <t>COMPLETO</t>
        </is>
      </c>
      <c r="D29" s="21" t="inlineStr">
        <is>
          <t>✓ MUST</t>
        </is>
      </c>
      <c r="E29" s="21" t="inlineStr">
        <is>
          <t>Plataforma</t>
        </is>
      </c>
      <c r="F29" s="21" t="inlineStr">
        <is>
          <t>Calendario</t>
        </is>
      </c>
    </row>
    <row r="30">
      <c r="A30" s="21" t="inlineStr">
        <is>
          <t>Permisos sanitarios SAG/Seremi</t>
        </is>
      </c>
      <c r="B30" s="21" t="inlineStr">
        <is>
          <t>Operacional y Técnico</t>
        </is>
      </c>
      <c r="C30" s="22" t="inlineStr">
        <is>
          <t>FALTANTE</t>
        </is>
      </c>
      <c r="D30" s="21" t="inlineStr">
        <is>
          <t>✓ MUST</t>
        </is>
      </c>
      <c r="E30" s="21" t="inlineStr">
        <is>
          <t>Compliance</t>
        </is>
      </c>
      <c r="F30" s="21" t="inlineStr">
        <is>
          <t>PDFs resoluciones</t>
        </is>
      </c>
    </row>
    <row r="31">
      <c r="A31" s="21" t="inlineStr">
        <is>
          <t>Resolución Calificación Ambiental</t>
        </is>
      </c>
      <c r="B31" s="21" t="inlineStr">
        <is>
          <t>Operacional y Técnico</t>
        </is>
      </c>
      <c r="C31" s="22" t="inlineStr">
        <is>
          <t>FALTANTE</t>
        </is>
      </c>
      <c r="D31" s="21" t="inlineStr">
        <is>
          <t>✓ MUST</t>
        </is>
      </c>
      <c r="E31" s="21" t="inlineStr">
        <is>
          <t>Compliance / legal</t>
        </is>
      </c>
      <c r="F31" s="21" t="inlineStr">
        <is>
          <t>PDF RCA</t>
        </is>
      </c>
    </row>
    <row r="32">
      <c r="A32" s="21" t="inlineStr">
        <is>
          <t>Pólizas de seguros activas</t>
        </is>
      </c>
      <c r="B32" s="21" t="inlineStr">
        <is>
          <t>Operacional y Técnico</t>
        </is>
      </c>
      <c r="C32" s="22" t="inlineStr">
        <is>
          <t>FALTANTE</t>
        </is>
      </c>
      <c r="D32" s="21" t="inlineStr">
        <is>
          <t>✓ MUST</t>
        </is>
      </c>
      <c r="E32" s="21" t="inlineStr">
        <is>
          <t>Finanzas</t>
        </is>
      </c>
      <c r="F32" s="21" t="inlineStr">
        <is>
          <t>PDFs pólizas</t>
        </is>
      </c>
    </row>
    <row r="33">
      <c r="A33" s="21" t="inlineStr">
        <is>
          <t>Huella de carbono LCA</t>
        </is>
      </c>
      <c r="B33" s="21" t="inlineStr">
        <is>
          <t>ESG y Sustentabilidad</t>
        </is>
      </c>
      <c r="C33" s="24" t="inlineStr">
        <is>
          <t>COMPLETO</t>
        </is>
      </c>
      <c r="D33" s="21" t="inlineStr">
        <is>
          <t>✓ MUST</t>
        </is>
      </c>
      <c r="E33" s="21" t="inlineStr">
        <is>
          <t>Plataforma</t>
        </is>
      </c>
      <c r="F33" s="21" t="inlineStr">
        <is>
          <t>Reporte LCA</t>
        </is>
      </c>
    </row>
    <row r="34">
      <c r="A34" s="21" t="inlineStr">
        <is>
          <t>Compliance Ley REP</t>
        </is>
      </c>
      <c r="B34" s="21" t="inlineStr">
        <is>
          <t>ESG y Sustentabilidad</t>
        </is>
      </c>
      <c r="C34" s="24" t="inlineStr">
        <is>
          <t>COMPLETO</t>
        </is>
      </c>
      <c r="D34" s="21" t="inlineStr">
        <is>
          <t>✓ MUST</t>
        </is>
      </c>
      <c r="E34" s="21" t="inlineStr">
        <is>
          <t>Plataforma</t>
        </is>
      </c>
      <c r="F34" s="21" t="inlineStr">
        <is>
          <t>Timeline</t>
        </is>
      </c>
    </row>
    <row r="35">
      <c r="A35" s="21" t="inlineStr">
        <is>
          <t>Análisis de riesgo climático</t>
        </is>
      </c>
      <c r="B35" s="21" t="inlineStr">
        <is>
          <t>ESG y Sustentabilidad</t>
        </is>
      </c>
      <c r="C35" s="24" t="inlineStr">
        <is>
          <t>COMPLETO</t>
        </is>
      </c>
      <c r="D35" s="21" t="inlineStr">
        <is>
          <t>✓ MUST</t>
        </is>
      </c>
      <c r="E35" s="21" t="inlineStr">
        <is>
          <t>Plataforma</t>
        </is>
      </c>
      <c r="F35" s="21" t="inlineStr">
        <is>
          <t>Matriz riesgo</t>
        </is>
      </c>
    </row>
    <row r="36">
      <c r="A36" s="21" t="inlineStr">
        <is>
          <t>Certificaciones ESG activas</t>
        </is>
      </c>
      <c r="B36" s="21" t="inlineStr">
        <is>
          <t>ESG y Sustentabilidad</t>
        </is>
      </c>
      <c r="C36" s="22" t="inlineStr">
        <is>
          <t>FALTANTE</t>
        </is>
      </c>
      <c r="D36" s="21" t="inlineStr">
        <is>
          <t>✓ MUST</t>
        </is>
      </c>
      <c r="E36" s="21" t="inlineStr">
        <is>
          <t>QA / Compliance</t>
        </is>
      </c>
      <c r="F36" s="21" t="inlineStr">
        <is>
          <t>Checklist + evidencias</t>
        </is>
      </c>
    </row>
    <row r="37">
      <c r="A37" s="21" t="inlineStr">
        <is>
          <t>Políticas internas (ética, género, etc)</t>
        </is>
      </c>
      <c r="B37" s="21" t="inlineStr">
        <is>
          <t>ESG y Sustentabilidad</t>
        </is>
      </c>
      <c r="C37" s="22" t="inlineStr">
        <is>
          <t>FALTANTE</t>
        </is>
      </c>
      <c r="D37" s="21" t="inlineStr">
        <is>
          <t>nice</t>
        </is>
      </c>
      <c r="E37" s="21" t="inlineStr">
        <is>
          <t>RR.HH.</t>
        </is>
      </c>
      <c r="F37" s="21" t="inlineStr">
        <is>
          <t>PDFs políticas</t>
        </is>
      </c>
    </row>
    <row r="38">
      <c r="A38" s="21" t="inlineStr">
        <is>
          <t>Alineación con SDGs</t>
        </is>
      </c>
      <c r="B38" s="21" t="inlineStr">
        <is>
          <t>ESG y Sustentabilidad</t>
        </is>
      </c>
      <c r="C38" s="23" t="inlineStr">
        <is>
          <t>PARCIAL</t>
        </is>
      </c>
      <c r="D38" s="21" t="inlineStr">
        <is>
          <t>nice</t>
        </is>
      </c>
      <c r="E38" s="21" t="inlineStr">
        <is>
          <t>ESG officer</t>
        </is>
      </c>
      <c r="F38" s="21" t="inlineStr">
        <is>
          <t>PDF mapeo SDG</t>
        </is>
      </c>
    </row>
    <row r="39">
      <c r="A39" s="21" t="inlineStr">
        <is>
          <t>Simulador Sustainability Bonds</t>
        </is>
      </c>
      <c r="B39" s="21" t="inlineStr">
        <is>
          <t>ESG y Sustentabilidad</t>
        </is>
      </c>
      <c r="C39" s="24" t="inlineStr">
        <is>
          <t>COMPLETO</t>
        </is>
      </c>
      <c r="D39" s="21" t="inlineStr">
        <is>
          <t>✓ MUST</t>
        </is>
      </c>
      <c r="E39" s="21" t="inlineStr">
        <is>
          <t>Plataforma</t>
        </is>
      </c>
      <c r="F39" s="21" t="inlineStr">
        <is>
          <t>Simulador</t>
        </is>
      </c>
    </row>
    <row r="40">
      <c r="A40" s="21" t="inlineStr">
        <is>
          <t>CVs fundadores y directorio</t>
        </is>
      </c>
      <c r="B40" s="21" t="inlineStr">
        <is>
          <t>Equipo y Gobierno</t>
        </is>
      </c>
      <c r="C40" s="22" t="inlineStr">
        <is>
          <t>FALTANTE</t>
        </is>
      </c>
      <c r="D40" s="21" t="inlineStr">
        <is>
          <t>✓ MUST</t>
        </is>
      </c>
      <c r="E40" s="21" t="inlineStr">
        <is>
          <t>Cada uno</t>
        </is>
      </c>
      <c r="F40" s="21" t="inlineStr">
        <is>
          <t>PDFs + fotos profesionales</t>
        </is>
      </c>
    </row>
    <row r="41">
      <c r="A41" s="21" t="inlineStr">
        <is>
          <t>Organigrama empresa</t>
        </is>
      </c>
      <c r="B41" s="21" t="inlineStr">
        <is>
          <t>Equipo y Gobierno</t>
        </is>
      </c>
      <c r="C41" s="22" t="inlineStr">
        <is>
          <t>FALTANTE</t>
        </is>
      </c>
      <c r="D41" s="21" t="inlineStr">
        <is>
          <t>✓ MUST</t>
        </is>
      </c>
      <c r="E41" s="21" t="inlineStr">
        <is>
          <t>RR.HH.</t>
        </is>
      </c>
      <c r="F41" s="21" t="inlineStr">
        <is>
          <t>PDF orgchart</t>
        </is>
      </c>
    </row>
    <row r="42">
      <c r="A42" s="21" t="inlineStr">
        <is>
          <t>Actas de directorio últimas 6</t>
        </is>
      </c>
      <c r="B42" s="21" t="inlineStr">
        <is>
          <t>Equipo y Gobierno</t>
        </is>
      </c>
      <c r="C42" s="22" t="inlineStr">
        <is>
          <t>FALTANTE</t>
        </is>
      </c>
      <c r="D42" s="21" t="inlineStr">
        <is>
          <t>✓ MUST</t>
        </is>
      </c>
      <c r="E42" s="21" t="inlineStr">
        <is>
          <t>Secretaria directorio</t>
        </is>
      </c>
      <c r="F42" s="21" t="inlineStr">
        <is>
          <t>PDFs actas</t>
        </is>
      </c>
    </row>
    <row r="43">
      <c r="A43" s="21" t="inlineStr">
        <is>
          <t>Política de compensación ejecutivos</t>
        </is>
      </c>
      <c r="B43" s="21" t="inlineStr">
        <is>
          <t>Equipo y Gobierno</t>
        </is>
      </c>
      <c r="C43" s="22" t="inlineStr">
        <is>
          <t>FALTANTE</t>
        </is>
      </c>
      <c r="D43" s="21" t="inlineStr">
        <is>
          <t>nice</t>
        </is>
      </c>
      <c r="E43" s="21" t="inlineStr">
        <is>
          <t>Directorio</t>
        </is>
      </c>
      <c r="F43" s="21" t="inlineStr">
        <is>
          <t>PDF política</t>
        </is>
      </c>
    </row>
    <row r="44">
      <c r="A44" s="21" t="inlineStr">
        <is>
          <t>Lista de advisors / mentores</t>
        </is>
      </c>
      <c r="B44" s="21" t="inlineStr">
        <is>
          <t>Equipo y Gobierno</t>
        </is>
      </c>
      <c r="C44" s="23" t="inlineStr">
        <is>
          <t>PARCIAL</t>
        </is>
      </c>
      <c r="D44" s="21" t="inlineStr">
        <is>
          <t>nice</t>
        </is>
      </c>
      <c r="E44" s="21" t="inlineStr">
        <is>
          <t>Nicolás</t>
        </is>
      </c>
      <c r="F44" s="21" t="inlineStr">
        <is>
          <t>PDF + LinkedIn</t>
        </is>
      </c>
    </row>
    <row r="45">
      <c r="A45" s="21" t="inlineStr">
        <is>
          <t>Alianzas estratégicas</t>
        </is>
      </c>
      <c r="B45" s="21" t="inlineStr">
        <is>
          <t>Equipo y Gobierno</t>
        </is>
      </c>
      <c r="C45" s="23" t="inlineStr">
        <is>
          <t>PARCIAL</t>
        </is>
      </c>
      <c r="D45" s="21" t="inlineStr">
        <is>
          <t>✓ MUST</t>
        </is>
      </c>
      <c r="E45" s="21" t="inlineStr">
        <is>
          <t>Nicolás</t>
        </is>
      </c>
      <c r="F45" s="21" t="inlineStr">
        <is>
          <t>MOUs 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Análisis de Sensibilidad 2D</t>
        </is>
      </c>
    </row>
    <row r="2">
      <c r="A2" s="2" t="inlineStr">
        <is>
          <t>TIR según shock precio × costo MMPP (7x7 = 49 simulaciones)</t>
        </is>
      </c>
    </row>
    <row r="4">
      <c r="A4" s="7" t="inlineStr">
        <is>
          <t>costo_mmpp \ precio</t>
        </is>
      </c>
      <c r="B4" s="7" t="inlineStr">
        <is>
          <t>-25%</t>
        </is>
      </c>
      <c r="C4" s="7" t="inlineStr">
        <is>
          <t>-17%</t>
        </is>
      </c>
      <c r="D4" s="7" t="inlineStr">
        <is>
          <t>-8%</t>
        </is>
      </c>
      <c r="E4" s="7" t="inlineStr">
        <is>
          <t>+0%</t>
        </is>
      </c>
      <c r="F4" s="7" t="inlineStr">
        <is>
          <t>+8%</t>
        </is>
      </c>
      <c r="G4" s="7" t="inlineStr">
        <is>
          <t>+17%</t>
        </is>
      </c>
      <c r="H4" s="7" t="inlineStr">
        <is>
          <t>+25%</t>
        </is>
      </c>
    </row>
    <row r="5">
      <c r="A5" s="7" t="inlineStr">
        <is>
          <t>-25%</t>
        </is>
      </c>
      <c r="B5" s="25" t="n">
        <v>0.04596067099553025</v>
      </c>
      <c r="C5" s="25" t="n">
        <v>0.1499339908219215</v>
      </c>
      <c r="D5" s="25" t="n">
        <v>0.2471626407749912</v>
      </c>
      <c r="E5" s="25" t="n">
        <v>0.3391272760408843</v>
      </c>
      <c r="F5" s="25" t="n">
        <v>0.4271045908631868</v>
      </c>
      <c r="G5" s="25" t="n">
        <v>0.5120132255628527</v>
      </c>
      <c r="H5" s="25" t="n">
        <v>0.5942504449941926</v>
      </c>
    </row>
    <row r="6">
      <c r="A6" s="7" t="inlineStr">
        <is>
          <t>-17%</t>
        </is>
      </c>
      <c r="B6" s="25" t="n">
        <v>0.03474405772787903</v>
      </c>
      <c r="C6" s="25" t="n">
        <v>0.1390380418878516</v>
      </c>
      <c r="D6" s="25" t="n">
        <v>0.2364396293058473</v>
      </c>
      <c r="E6" s="25" t="n">
        <v>0.3284797063358482</v>
      </c>
      <c r="F6" s="25" t="n">
        <v>0.4164649768443083</v>
      </c>
      <c r="G6" s="25" t="n">
        <v>0.5013326916199006</v>
      </c>
      <c r="H6" s="25" t="n">
        <v>0.5834926020573639</v>
      </c>
    </row>
    <row r="7">
      <c r="A7" s="7" t="inlineStr">
        <is>
          <t>-8%</t>
        </is>
      </c>
      <c r="B7" s="25" t="n">
        <v>0.02352805919559442</v>
      </c>
      <c r="C7" s="25" t="n">
        <v>0.12815797380472</v>
      </c>
      <c r="D7" s="25" t="n">
        <v>0.2257428892692344</v>
      </c>
      <c r="E7" s="25" t="n">
        <v>0.3178660082709928</v>
      </c>
      <c r="F7" s="25" t="n">
        <v>0.4058651303812637</v>
      </c>
      <c r="G7" s="25" t="n">
        <v>0.4906967139816225</v>
      </c>
      <c r="H7" s="25" t="n">
        <v>0.5727833345440929</v>
      </c>
    </row>
    <row r="8">
      <c r="A8" s="7" t="inlineStr">
        <is>
          <t>+0%</t>
        </is>
      </c>
      <c r="B8" s="25" t="n">
        <v>0.01233769837737042</v>
      </c>
      <c r="C8" s="25" t="n">
        <v>0.1173184293545768</v>
      </c>
      <c r="D8" s="25" t="n">
        <v>0.2150968441355263</v>
      </c>
      <c r="E8" s="25" t="n">
        <v>0.3073105275771557</v>
      </c>
      <c r="F8" s="25" t="n">
        <v>0.3953294335356972</v>
      </c>
      <c r="G8" s="25" t="n">
        <v>0.4801298017813604</v>
      </c>
      <c r="H8" s="25" t="n">
        <v>0.5621473504970793</v>
      </c>
    </row>
    <row r="9">
      <c r="A9" s="7" t="inlineStr">
        <is>
          <t>+8%</t>
        </is>
      </c>
      <c r="B9" s="25" t="n">
        <v>0.001157614231529269</v>
      </c>
      <c r="C9" s="25" t="n">
        <v>0.1065048876945729</v>
      </c>
      <c r="D9" s="25" t="n">
        <v>0.2044874167314463</v>
      </c>
      <c r="E9" s="25" t="n">
        <v>0.2967994084870655</v>
      </c>
      <c r="F9" s="25" t="n">
        <v>0.3848441159231464</v>
      </c>
      <c r="G9" s="25" t="n">
        <v>0.4696181804804038</v>
      </c>
      <c r="H9" s="25" t="n">
        <v>0.5515708092156775</v>
      </c>
    </row>
    <row r="10">
      <c r="A10" s="7" t="inlineStr">
        <is>
          <t>+17%</t>
        </is>
      </c>
      <c r="B10" s="25" t="n">
        <v>-0.01002753995458872</v>
      </c>
      <c r="C10" s="25" t="n">
        <v>0.09570294062154061</v>
      </c>
      <c r="D10" s="25" t="n">
        <v>0.1939007039283114</v>
      </c>
      <c r="E10" s="25" t="n">
        <v>0.2863190117876575</v>
      </c>
      <c r="F10" s="25" t="n">
        <v>0.3743956555712189</v>
      </c>
      <c r="G10" s="25" t="n">
        <v>0.4591483492973873</v>
      </c>
      <c r="H10" s="25" t="n">
        <v>0.5410401647895413</v>
      </c>
    </row>
    <row r="11">
      <c r="A11" s="7" t="inlineStr">
        <is>
          <t>+25%</t>
        </is>
      </c>
      <c r="B11" s="25" t="n">
        <v>-0.0211929202676916</v>
      </c>
      <c r="C11" s="25" t="n">
        <v>0.08493700679446237</v>
      </c>
      <c r="D11" s="25" t="n">
        <v>0.1833608597996366</v>
      </c>
      <c r="E11" s="25" t="n">
        <v>0.2758933739281326</v>
      </c>
      <c r="F11" s="25" t="n">
        <v>0.3640080907428691</v>
      </c>
      <c r="G11" s="25" t="n">
        <v>0.4487444434237551</v>
      </c>
      <c r="H11" s="25" t="n">
        <v>0.5305797246660722</v>
      </c>
    </row>
    <row r="14">
      <c r="A14" s="26" t="inlineStr">
        <is>
          <t>TIR base</t>
        </is>
      </c>
      <c r="B14" s="27" t="n">
        <v>0.3073105275771557</v>
      </c>
    </row>
    <row r="15">
      <c r="A15" s="26" t="inlineStr">
        <is>
          <t>Zona segura (% celdas &gt; hurdle)</t>
        </is>
      </c>
      <c r="B15" s="28" t="n">
        <v>0.7142857142857143</v>
      </c>
    </row>
    <row r="16">
      <c r="A16" s="26" t="inlineStr">
        <is>
          <t>Hurdle aplicado</t>
        </is>
      </c>
      <c r="B16" s="28" t="n">
        <v>0.15</v>
      </c>
    </row>
  </sheetData>
  <conditionalFormatting sqref="B5:H11">
    <cfRule type="colorScale" priority="1">
      <colorScale>
        <cfvo type="min"/>
        <cfvo type="num" val="0.15"/>
        <cfvo type="max"/>
        <color rgb="00FF3B30"/>
        <color rgb="00FFCC00"/>
        <color rgb="001A8A1A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22" customWidth="1" min="4" max="4"/>
    <col width="16" customWidth="1" min="5" max="5"/>
  </cols>
  <sheetData>
    <row r="1">
      <c r="A1" s="1" t="inlineStr">
        <is>
          <t>Escenarios Estratégicos</t>
        </is>
      </c>
    </row>
    <row r="2">
      <c r="A2" s="2" t="inlineStr">
        <is>
          <t>PILOTO / INDUSTRIAL / EXPANSION — comparación de tres planes</t>
        </is>
      </c>
    </row>
    <row r="4">
      <c r="A4" s="7" t="inlineStr">
        <is>
          <t>Escenario</t>
        </is>
      </c>
      <c r="B4" s="7" t="inlineStr">
        <is>
          <t>CapEx total (CLP)</t>
        </is>
      </c>
      <c r="C4" s="7" t="inlineStr">
        <is>
          <t>TIR proyecto</t>
        </is>
      </c>
      <c r="D4" s="7" t="inlineStr">
        <is>
          <t>VAN @ 18% (CLP)</t>
        </is>
      </c>
      <c r="E4" s="7" t="inlineStr">
        <is>
          <t>Payback (meses)</t>
        </is>
      </c>
    </row>
    <row r="5">
      <c r="A5" s="8" t="inlineStr">
        <is>
          <t>PILOTO</t>
        </is>
      </c>
      <c r="B5" s="29" t="n">
        <v>9000000000</v>
      </c>
      <c r="C5" s="25" t="n">
        <v>0.1483261978978876</v>
      </c>
      <c r="D5" s="29" t="n">
        <v>-429999318.5778712</v>
      </c>
      <c r="E5" s="8" t="inlineStr">
        <is>
          <t>—</t>
        </is>
      </c>
    </row>
    <row r="6">
      <c r="A6" s="8" t="inlineStr">
        <is>
          <t>INDUSTRIAL</t>
        </is>
      </c>
      <c r="B6" s="29" t="n">
        <v>15000000000</v>
      </c>
      <c r="C6" s="25" t="n">
        <v>0.3073105275771557</v>
      </c>
      <c r="D6" s="29" t="n">
        <v>3538279298.272318</v>
      </c>
      <c r="E6" s="8" t="n">
        <v>54</v>
      </c>
    </row>
    <row r="7">
      <c r="A7" s="8" t="inlineStr">
        <is>
          <t>EXPANSION</t>
        </is>
      </c>
      <c r="B7" s="29" t="n">
        <v>28000000000</v>
      </c>
      <c r="C7" s="25" t="n">
        <v>0.2504158342690423</v>
      </c>
      <c r="D7" s="29" t="n">
        <v>3149471217.413098</v>
      </c>
      <c r="E7" s="8" t="n">
        <v>57</v>
      </c>
    </row>
    <row r="9" ht="30" customHeight="1">
      <c r="A9" s="30" t="inlineStr">
        <is>
          <t>Recomendación: INDUSTRIAL — VAN positivo y mejor risk-adjusted return</t>
        </is>
      </c>
    </row>
  </sheetData>
  <mergeCells count="1">
    <mergeCell ref="A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6" customWidth="1" min="3" max="3"/>
    <col width="22" customWidth="1" min="4" max="4"/>
  </cols>
  <sheetData>
    <row r="1">
      <c r="A1" s="1" t="inlineStr">
        <is>
          <t>Carbon Footprint — LCA 3 Escenarios</t>
        </is>
      </c>
    </row>
    <row r="2">
      <c r="A2" s="2" t="inlineStr">
        <is>
          <t>Emisiones netas + revenue créditos voluntarios CO2</t>
        </is>
      </c>
    </row>
    <row r="4">
      <c r="A4" s="7" t="inlineStr">
        <is>
          <t>Escenario</t>
        </is>
      </c>
      <c r="B4" s="7" t="inlineStr">
        <is>
          <t>Emisiones netas 5y (ton CO2eq)</t>
        </is>
      </c>
      <c r="C4" s="7" t="inlineStr">
        <is>
          <t>Revenue créditos 5y (CLP)</t>
        </is>
      </c>
      <c r="D4" s="7" t="inlineStr">
        <is>
          <t>¿Carbono negativo?</t>
        </is>
      </c>
    </row>
    <row r="5">
      <c r="A5" s="8" t="inlineStr">
        <is>
          <t>Baseline</t>
        </is>
      </c>
      <c r="B5" s="31" t="n">
        <v>-53312.4</v>
      </c>
      <c r="C5" s="29" t="n">
        <v>735711120</v>
      </c>
      <c r="D5" s="32" t="inlineStr">
        <is>
          <t>SÍ ✓</t>
        </is>
      </c>
    </row>
    <row r="6">
      <c r="A6" s="8" t="inlineStr">
        <is>
          <t>BECCS</t>
        </is>
      </c>
      <c r="B6" s="31" t="n">
        <v>-138762</v>
      </c>
      <c r="C6" s="29" t="n">
        <v>1914915600</v>
      </c>
      <c r="D6" s="32" t="inlineStr">
        <is>
          <t>SÍ 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22" customWidth="1" min="4" max="4"/>
    <col width="50" customWidth="1" min="5" max="5"/>
  </cols>
  <sheetData>
    <row r="1">
      <c r="A1" s="1" t="inlineStr">
        <is>
          <t>Compliance — Ley REP</t>
        </is>
      </c>
    </row>
    <row r="2">
      <c r="A2" s="2" t="inlineStr">
        <is>
          <t>8 hitos regulatorios agroindustria</t>
        </is>
      </c>
    </row>
    <row r="4">
      <c r="A4" s="7" t="inlineStr">
        <is>
          <t>Hito</t>
        </is>
      </c>
      <c r="B4" s="7" t="inlineStr">
        <is>
          <t>Fecha vigor</t>
        </is>
      </c>
      <c r="C4" s="7" t="inlineStr">
        <is>
          <t>Severidad</t>
        </is>
      </c>
      <c r="D4" s="7" t="inlineStr">
        <is>
          <t>Costo estimado (CLP)</t>
        </is>
      </c>
      <c r="E4" s="7" t="inlineStr">
        <is>
          <t>Descripción</t>
        </is>
      </c>
    </row>
    <row r="5">
      <c r="A5" s="8" t="inlineStr">
        <is>
          <t>Ley 20.920 REP vigente</t>
        </is>
      </c>
      <c r="B5" s="8" t="inlineStr">
        <is>
          <t>2017-06-01</t>
        </is>
      </c>
      <c r="C5" s="8" t="inlineStr">
        <is>
          <t>INFORMATIVA</t>
        </is>
      </c>
      <c r="D5" s="29" t="n"/>
      <c r="E5" s="8" t="inlineStr">
        <is>
          <t>Mantener inscripción como gestor autorizado en MMA cuando se formalice.</t>
        </is>
      </c>
    </row>
    <row r="6">
      <c r="A6" s="8" t="inlineStr">
        <is>
          <t>Reglamento sanitario para recepción y almacenamiento de residuos productos prioritarios</t>
        </is>
      </c>
      <c r="B6" s="8" t="inlineStr">
        <is>
          <t>2026-07-14</t>
        </is>
      </c>
      <c r="C6" s="33" t="inlineStr">
        <is>
          <t>ALTA</t>
        </is>
      </c>
      <c r="D6" s="29" t="n">
        <v>80000000</v>
      </c>
      <c r="E6" s="8" t="inlineStr">
        <is>
          <t>Diseño de planta industrial debe incluir specs reglamento. Auditoría Q3 2026.</t>
        </is>
      </c>
    </row>
    <row r="7">
      <c r="A7" s="8" t="inlineStr">
        <is>
          <t>Green Points existentes: 3 años transición sin autorización</t>
        </is>
      </c>
      <c r="B7" s="8" t="inlineStr">
        <is>
          <t>2029-07-14</t>
        </is>
      </c>
      <c r="C7" s="34" t="inlineStr">
        <is>
          <t>MEDIA</t>
        </is>
      </c>
      <c r="D7" s="29" t="n">
        <v>15000000</v>
      </c>
      <c r="E7" s="8" t="inlineStr">
        <is>
          <t>Apoyar a oliveros con trámite o usar Green Points formalizados.</t>
        </is>
      </c>
    </row>
    <row r="8">
      <c r="A8" s="8" t="inlineStr">
        <is>
          <t>Ley residuos orgánicos — fase 1 (poda + ferias)</t>
        </is>
      </c>
      <c r="B8" s="8" t="inlineStr">
        <is>
          <t>2027-01-01</t>
        </is>
      </c>
      <c r="C8" s="34" t="inlineStr">
        <is>
          <t>MEDIA</t>
        </is>
      </c>
      <c r="D8" s="29" t="n"/>
      <c r="E8" s="8" t="inlineStr">
        <is>
          <t>Posicionarse como gestor en municipios productores (Valle Central oliva/uva).</t>
        </is>
      </c>
    </row>
    <row r="9">
      <c r="A9" s="8" t="inlineStr">
        <is>
          <t>Ley residuos orgánicos — fase 2 (centros comerciales + restaurantes)</t>
        </is>
      </c>
      <c r="B9" s="8" t="inlineStr">
        <is>
          <t>2030-01-01</t>
        </is>
      </c>
      <c r="C9" s="34" t="inlineStr">
        <is>
          <t>MEDIA</t>
        </is>
      </c>
      <c r="D9" s="29" t="n"/>
      <c r="E9" s="8" t="inlineStr">
        <is>
          <t>Evaluar pivotar/ampliar Servicios de Plataforma Tecnológica.</t>
        </is>
      </c>
    </row>
    <row r="10">
      <c r="A10" s="8" t="inlineStr">
        <is>
          <t>Hoja de Ruta Circular Chile 2040 — meta valorización 65%</t>
        </is>
      </c>
      <c r="B10" s="8" t="inlineStr">
        <is>
          <t>2040-01-01</t>
        </is>
      </c>
      <c r="C10" s="8" t="inlineStr">
        <is>
          <t>INFORMATIVA</t>
        </is>
      </c>
      <c r="D10" s="29" t="n"/>
      <c r="E10" s="8" t="inlineStr">
        <is>
          <t>Posicionamiento estratégico — alineado con visión 2040.</t>
        </is>
      </c>
    </row>
    <row r="11">
      <c r="A11" s="8" t="inlineStr">
        <is>
          <t>Prohibición quemas agrícolas (PDA)</t>
        </is>
      </c>
      <c r="B11" s="8" t="inlineStr">
        <is>
          <t>2026-01-01</t>
        </is>
      </c>
      <c r="C11" s="33" t="inlineStr">
        <is>
          <t>ALTA</t>
        </is>
      </c>
      <c r="D11" s="29" t="n"/>
      <c r="E11" s="8" t="inlineStr">
        <is>
          <t>Negociar contratos largos con proveedores que pierden la opción quema.</t>
        </is>
      </c>
    </row>
    <row r="12">
      <c r="A12" s="8" t="inlineStr">
        <is>
          <t>Norma BRC Global Standard for Food Safety (export)</t>
        </is>
      </c>
      <c r="B12" s="8" t="inlineStr">
        <is>
          <t>2027-06-01</t>
        </is>
      </c>
      <c r="C12" s="33" t="inlineStr">
        <is>
          <t>ALTA</t>
        </is>
      </c>
      <c r="D12" s="29" t="n">
        <v>120000000</v>
      </c>
      <c r="E12" s="8" t="inlineStr">
        <is>
          <t>Implementar HACCP + BRC en planta industrial año 2-3.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</cols>
  <sheetData>
    <row r="1">
      <c r="A1" s="1" t="inlineStr">
        <is>
          <t>Indicadores Macro Chile</t>
        </is>
      </c>
    </row>
    <row r="2">
      <c r="A2" s="2" t="inlineStr">
        <is>
          <t>Snapshot Banco Central (vía mindicador.cl, cache 24h)</t>
        </is>
      </c>
    </row>
    <row r="4">
      <c r="A4" s="7" t="inlineStr">
        <is>
          <t>Indicador</t>
        </is>
      </c>
      <c r="B4" s="7" t="inlineStr">
        <is>
          <t>Valor</t>
        </is>
      </c>
      <c r="C4" s="7" t="inlineStr">
        <is>
          <t>Unidad</t>
        </is>
      </c>
    </row>
    <row r="5">
      <c r="A5" s="8" t="inlineStr">
        <is>
          <t>Dólar Observado</t>
        </is>
      </c>
      <c r="B5" s="8" t="n">
        <v>899.86</v>
      </c>
      <c r="C5" s="8" t="inlineStr">
        <is>
          <t>CLP</t>
        </is>
      </c>
    </row>
    <row r="6">
      <c r="A6" s="8" t="inlineStr">
        <is>
          <t>UF</t>
        </is>
      </c>
      <c r="B6" s="8" t="n">
        <v>40509.29</v>
      </c>
      <c r="C6" s="8" t="inlineStr">
        <is>
          <t>CLP</t>
        </is>
      </c>
    </row>
    <row r="7">
      <c r="A7" s="8" t="inlineStr">
        <is>
          <t>IPC mensual</t>
        </is>
      </c>
      <c r="B7" s="8" t="n">
        <v>-0.2</v>
      </c>
      <c r="C7" s="8" t="inlineStr">
        <is>
          <t>%</t>
        </is>
      </c>
    </row>
    <row r="8">
      <c r="A8" s="8" t="inlineStr">
        <is>
          <t>TPM</t>
        </is>
      </c>
      <c r="B8" s="8" t="n">
        <v>4.5</v>
      </c>
      <c r="C8" s="8" t="inlineStr">
        <is>
          <t>%</t>
        </is>
      </c>
    </row>
    <row r="9">
      <c r="A9" s="8" t="inlineStr">
        <is>
          <t>Tasa desempleo</t>
        </is>
      </c>
      <c r="B9" s="8" t="n">
        <v>8.93</v>
      </c>
      <c r="C9" s="8" t="inlineStr">
        <is>
          <t>%</t>
        </is>
      </c>
    </row>
    <row r="11">
      <c r="A11" s="2" t="inlineStr">
        <is>
          <t>Fuente: mindicador.cl (Banco Central Chile)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5" customWidth="1" min="4" max="4"/>
  </cols>
  <sheetData>
    <row r="1">
      <c r="A1" s="1" t="inlineStr">
        <is>
          <t>Supuestos críticos del modelo</t>
        </is>
      </c>
    </row>
    <row r="2">
      <c r="A2" s="2" t="inlineStr">
        <is>
          <t>Valores configurables — modificar acá impacta TODAS las hojas</t>
        </is>
      </c>
    </row>
    <row r="4">
      <c r="A4" s="7" t="inlineStr">
        <is>
          <t>Supuesto</t>
        </is>
      </c>
      <c r="B4" s="7" t="inlineStr">
        <is>
          <t>Valor</t>
        </is>
      </c>
      <c r="C4" s="7" t="inlineStr">
        <is>
          <t>Unidad</t>
        </is>
      </c>
      <c r="D4" s="7" t="inlineStr">
        <is>
          <t>Fuente / Justificación</t>
        </is>
      </c>
    </row>
    <row r="5">
      <c r="A5" s="8" t="inlineStr">
        <is>
          <t>Volumen total anual</t>
        </is>
      </c>
      <c r="B5" s="8" t="n">
        <v>50000</v>
      </c>
      <c r="C5" s="8" t="inlineStr">
        <is>
          <t>ton</t>
        </is>
      </c>
      <c r="D5" s="8" t="inlineStr">
        <is>
          <t>Cap contractual</t>
        </is>
      </c>
    </row>
    <row r="6">
      <c r="A6" s="8" t="inlineStr">
        <is>
          <t>WACC anual</t>
        </is>
      </c>
      <c r="B6" s="8" t="n">
        <v>0.18</v>
      </c>
      <c r="C6" s="8" t="inlineStr">
        <is>
          <t>fracción</t>
        </is>
      </c>
      <c r="D6" s="8" t="inlineStr">
        <is>
          <t>Scielo sector pesca-acuicultura 19,6% - premium ESG</t>
        </is>
      </c>
    </row>
    <row r="7">
      <c r="A7" s="8" t="inlineStr">
        <is>
          <t>Costo MMPP neto</t>
        </is>
      </c>
      <c r="B7" s="8" t="n">
        <v>30</v>
      </c>
      <c r="C7" s="8" t="inlineStr">
        <is>
          <t>CLP/kg</t>
        </is>
      </c>
      <c r="D7" s="8" t="inlineStr">
        <is>
          <t>Flete - pagos parciales por residuo</t>
        </is>
      </c>
    </row>
    <row r="8">
      <c r="A8" s="8" t="inlineStr">
        <is>
          <t>Costo comercialización</t>
        </is>
      </c>
      <c r="B8" s="8" t="n">
        <v>0.22</v>
      </c>
      <c r="C8" s="8" t="inlineStr">
        <is>
          <t>% revenue</t>
        </is>
      </c>
      <c r="D8" s="8" t="inlineStr">
        <is>
          <t>Marketing + distribución + I+D</t>
        </is>
      </c>
    </row>
    <row r="9">
      <c r="A9" s="8" t="inlineStr">
        <is>
          <t>Impuesto renta</t>
        </is>
      </c>
      <c r="B9" s="8" t="n">
        <v>0.27</v>
      </c>
      <c r="C9" s="8" t="inlineStr">
        <is>
          <t>% utilidad</t>
        </is>
      </c>
      <c r="D9" s="8" t="inlineStr">
        <is>
          <t>DL 824 LIR Chile 27%</t>
        </is>
      </c>
    </row>
    <row r="10">
      <c r="A10" s="8" t="inlineStr">
        <is>
          <t>OpEx mensual</t>
        </is>
      </c>
      <c r="B10" s="8" t="n">
        <v>80000000</v>
      </c>
      <c r="C10" s="8" t="inlineStr">
        <is>
          <t>CLP</t>
        </is>
      </c>
      <c r="D10" s="8" t="inlineStr">
        <is>
          <t>25 personas + mantención + energía + admin</t>
        </is>
      </c>
    </row>
    <row r="11">
      <c r="A11" s="8" t="inlineStr">
        <is>
          <t>DSO (días cobro)</t>
        </is>
      </c>
      <c r="B11" s="8" t="n">
        <v>50</v>
      </c>
      <c r="C11" s="8" t="inlineStr">
        <is>
          <t>días</t>
        </is>
      </c>
      <c r="D11" s="8" t="inlineStr">
        <is>
          <t>B2B alimentos típico 45-60d</t>
        </is>
      </c>
    </row>
    <row r="12">
      <c r="A12" s="8" t="inlineStr">
        <is>
          <t>DPO (días pago)</t>
        </is>
      </c>
      <c r="B12" s="8" t="n">
        <v>35</v>
      </c>
      <c r="C12" s="8" t="inlineStr">
        <is>
          <t>días</t>
        </is>
      </c>
      <c r="D12" s="8" t="inlineStr">
        <is>
          <t>Proveedores MMPP típico 30-45d</t>
        </is>
      </c>
    </row>
    <row r="13">
      <c r="A13" s="8" t="inlineStr">
        <is>
          <t>Inventario</t>
        </is>
      </c>
      <c r="B13" s="8" t="n">
        <v>90</v>
      </c>
      <c r="C13" s="8" t="inlineStr">
        <is>
          <t>días</t>
        </is>
      </c>
      <c r="D13" s="8" t="inlineStr">
        <is>
          <t>Estacional MMPP concentrada 3 meses</t>
        </is>
      </c>
    </row>
    <row r="14">
      <c r="A14" s="8" t="inlineStr">
        <is>
          <t>Precio HARINA_ALPERUJO</t>
        </is>
      </c>
      <c r="B14" s="8" t="n">
        <v>800</v>
      </c>
      <c r="C14" s="8" t="inlineStr">
        <is>
          <t>CLP/kg</t>
        </is>
      </c>
      <c r="D14" s="8" t="inlineStr">
        <is>
          <t>Premium funcional</t>
        </is>
      </c>
    </row>
    <row r="15">
      <c r="A15" s="8" t="inlineStr">
        <is>
          <t>Precio HARINA_ORUJO</t>
        </is>
      </c>
      <c r="B15" s="8" t="n">
        <v>600</v>
      </c>
      <c r="C15" s="8" t="inlineStr">
        <is>
          <t>CLP/kg</t>
        </is>
      </c>
      <c r="D15" s="8" t="inlineStr">
        <is>
          <t>30% bajo harina pescado Chile</t>
        </is>
      </c>
    </row>
    <row r="16">
      <c r="A16" s="8" t="inlineStr">
        <is>
          <t>Precio LICOPENO</t>
        </is>
      </c>
      <c r="B16" s="8" t="n">
        <v>80000</v>
      </c>
      <c r="C16" s="8" t="inlineStr">
        <is>
          <t>CLP/kg</t>
        </is>
      </c>
      <c r="D16" s="8" t="inlineStr">
        <is>
          <t>USD 108-253/kg × 0.5 nuevo entrante</t>
        </is>
      </c>
    </row>
    <row r="17">
      <c r="A17" s="8" t="inlineStr">
        <is>
          <t>Precio PECTINA</t>
        </is>
      </c>
      <c r="B17" s="8" t="n">
        <v>25000</v>
      </c>
      <c r="C17" s="8" t="inlineStr">
        <is>
          <t>CLP/kg</t>
        </is>
      </c>
      <c r="D17" s="8" t="inlineStr">
        <is>
          <t>USD 55/kg mundial × 0.5</t>
        </is>
      </c>
    </row>
    <row r="18">
      <c r="A18" s="8" t="inlineStr">
        <is>
          <t>Rendimiento ALPERUJO</t>
        </is>
      </c>
      <c r="B18" s="8" t="n">
        <v>0.39</v>
      </c>
      <c r="C18" s="8" t="inlineStr">
        <is>
          <t>ton out/in</t>
        </is>
      </c>
      <c r="D18" s="8" t="inlineStr">
        <is>
          <t>Calibrado planta industrial</t>
        </is>
      </c>
    </row>
    <row r="19">
      <c r="A19" s="8" t="inlineStr">
        <is>
          <t>Rendimiento POMASA</t>
        </is>
      </c>
      <c r="B19" s="8" t="n">
        <v>0.22</v>
      </c>
      <c r="C19" s="8" t="inlineStr">
        <is>
          <t>ton out/in</t>
        </is>
      </c>
      <c r="D19" s="8" t="inlineStr">
        <is>
          <t>Validar con tomatera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1" t="inlineStr">
        <is>
          <t>Cómo usar este Excel</t>
        </is>
      </c>
    </row>
    <row r="2">
      <c r="A2" s="2" t="inlineStr">
        <is>
          <t>Conexión al motor en vivo + macros opcionales</t>
        </is>
      </c>
    </row>
    <row r="4">
      <c r="A4" t="inlineStr"/>
      <c r="B4" t="inlineStr"/>
    </row>
    <row r="5">
      <c r="A5" s="35" t="inlineStr">
        <is>
          <t>📊 ESTRUCTURA DEL EXCEL</t>
        </is>
      </c>
      <c r="B5" t="inlineStr"/>
    </row>
    <row r="6">
      <c r="A6" s="36" t="inlineStr">
        <is>
          <t>Dashboard</t>
        </is>
      </c>
      <c r="B6" s="37" t="inlineStr">
        <is>
          <t>KPIs grandes + Investment Readiness Score</t>
        </is>
      </c>
    </row>
    <row r="7">
      <c r="A7" s="36" t="inlineStr">
        <is>
          <t>Plan 5 años</t>
        </is>
      </c>
      <c r="B7" s="37" t="inlineStr">
        <is>
          <t>EERR anual con gráfico de barras</t>
        </is>
      </c>
    </row>
    <row r="8">
      <c r="A8" s="36" t="inlineStr">
        <is>
          <t>Balance Masa</t>
        </is>
      </c>
      <c r="B8" s="37" t="inlineStr">
        <is>
          <t>Flujo MMPP→producto con pie chart</t>
        </is>
      </c>
    </row>
    <row r="9">
      <c r="A9" s="36" t="inlineStr">
        <is>
          <t>Sensibilidad</t>
        </is>
      </c>
      <c r="B9" s="37" t="inlineStr">
        <is>
          <t>Heatmap 7x7 TIR vs precio×costo (con color scale)</t>
        </is>
      </c>
    </row>
    <row r="10">
      <c r="A10" s="36" t="inlineStr">
        <is>
          <t>Escenarios</t>
        </is>
      </c>
      <c r="B10" s="37" t="inlineStr">
        <is>
          <t>PILOTO/INDUSTRIAL/EXPANSION + recomendación</t>
        </is>
      </c>
    </row>
    <row r="11">
      <c r="A11" s="36" t="inlineStr">
        <is>
          <t>Carbono LCA</t>
        </is>
      </c>
      <c r="B11" s="37" t="inlineStr">
        <is>
          <t>Emisiones baseline + BECCS + revenue créditos</t>
        </is>
      </c>
    </row>
    <row r="12">
      <c r="A12" s="36" t="inlineStr">
        <is>
          <t>Compliance REP</t>
        </is>
      </c>
      <c r="B12" s="37" t="inlineStr">
        <is>
          <t>8 hitos Ley REP con severidad codificada</t>
        </is>
      </c>
    </row>
    <row r="13">
      <c r="A13" s="36" t="inlineStr">
        <is>
          <t>Macro Chile</t>
        </is>
      </c>
      <c r="B13" s="37" t="inlineStr">
        <is>
          <t>Snapshot Banco Central (vía mindicador.cl)</t>
        </is>
      </c>
    </row>
    <row r="14">
      <c r="A14" s="36" t="inlineStr">
        <is>
          <t>Supuestos</t>
        </is>
      </c>
      <c r="B14" s="37" t="inlineStr">
        <is>
          <t>Variables del modelo — modificar acá no afecta el motor</t>
        </is>
      </c>
    </row>
    <row r="15">
      <c r="A15" t="inlineStr"/>
      <c r="B15" t="inlineStr"/>
    </row>
    <row r="16">
      <c r="A16" s="35" t="inlineStr">
        <is>
          <t>🔄 ACTUALIZAR DATOS</t>
        </is>
      </c>
      <c r="B16" t="inlineStr"/>
    </row>
    <row r="17">
      <c r="A17" s="36" t="inlineStr">
        <is>
          <t>1.</t>
        </is>
      </c>
      <c r="B17" s="37" t="inlineStr">
        <is>
          <t>Cierra este archivo</t>
        </is>
      </c>
    </row>
    <row r="18">
      <c r="A18" s="36" t="inlineStr">
        <is>
          <t>2.</t>
        </is>
      </c>
      <c r="B18" s="37" t="inlineStr">
        <is>
          <t>Ejecuta: python scripts/generar_excel_master.py</t>
        </is>
      </c>
    </row>
    <row r="19">
      <c r="A19" s="36" t="inlineStr">
        <is>
          <t>3.</t>
        </is>
      </c>
      <c r="B19" s="37" t="inlineStr">
        <is>
          <t>Abre el nuevo .xlsx generado en backups/</t>
        </is>
      </c>
    </row>
    <row r="20">
      <c r="A20" t="inlineStr"/>
      <c r="B20" t="inlineStr"/>
    </row>
    <row r="21">
      <c r="A21" s="35" t="inlineStr">
        <is>
          <t>🌐 CONEXIÓN AL MOTOR (LIVE API)</t>
        </is>
      </c>
      <c r="B21" t="inlineStr"/>
    </row>
    <row r="22">
      <c r="A22" s="36" t="inlineStr">
        <is>
          <t>Engine URL</t>
        </is>
      </c>
      <c r="B22" s="37" t="inlineStr">
        <is>
          <t>https://trongkai-engine.fly.dev</t>
        </is>
      </c>
    </row>
    <row r="23">
      <c r="A23" s="36" t="inlineStr">
        <is>
          <t>OpenAPI/Swagger</t>
        </is>
      </c>
      <c r="B23" s="37" t="inlineStr">
        <is>
          <t>https://trongkai-engine.fly.dev/docs</t>
        </is>
      </c>
    </row>
    <row r="24">
      <c r="A24" s="36" t="inlineStr">
        <is>
          <t>Endpoint dashboard</t>
        </is>
      </c>
      <c r="B24" s="37" t="inlineStr">
        <is>
          <t>GET /api/snapshot — todo en un JSON</t>
        </is>
      </c>
    </row>
    <row r="25">
      <c r="A25" s="36" t="inlineStr">
        <is>
          <t>Endpoint PDF</t>
        </is>
      </c>
      <c r="B25" s="37" t="inlineStr">
        <is>
          <t>GET /api/tearsheet.pdf — descarga directa</t>
        </is>
      </c>
    </row>
    <row r="26">
      <c r="A26" s="36" t="inlineStr">
        <is>
          <t>Endpoint readiness</t>
        </is>
      </c>
      <c r="B26" s="37" t="inlineStr">
        <is>
          <t>GET /readiness/score — score 0-100</t>
        </is>
      </c>
    </row>
    <row r="27">
      <c r="A27" t="inlineStr"/>
      <c r="B27" t="inlineStr"/>
    </row>
    <row r="28">
      <c r="A28" s="35" t="inlineStr">
        <is>
          <t>⚙️ MACROS VBA (OPCIONAL — agregar manualmente)</t>
        </is>
      </c>
      <c r="B28" t="inlineStr"/>
    </row>
    <row r="29">
      <c r="A29" s="35" t="inlineStr">
        <is>
          <t>Para conectar este Excel al motor con macros VBA:</t>
        </is>
      </c>
      <c r="B29" t="inlineStr"/>
    </row>
    <row r="30">
      <c r="A30" s="36" t="inlineStr">
        <is>
          <t>1.</t>
        </is>
      </c>
      <c r="B30" s="37" t="inlineStr">
        <is>
          <t>Guarda este archivo como .xlsm (Habilitado para macros)</t>
        </is>
      </c>
    </row>
    <row r="31">
      <c r="A31" s="36" t="inlineStr">
        <is>
          <t>2.</t>
        </is>
      </c>
      <c r="B31" s="37" t="inlineStr">
        <is>
          <t>Alt+F11 abre el editor VBA</t>
        </is>
      </c>
    </row>
    <row r="32">
      <c r="A32" s="36" t="inlineStr">
        <is>
          <t>3.</t>
        </is>
      </c>
      <c r="B32" s="37" t="inlineStr">
        <is>
          <t>Pega el código de la siguiente sección</t>
        </is>
      </c>
    </row>
    <row r="33">
      <c r="A33" t="inlineStr"/>
      <c r="B33" t="inlineStr"/>
    </row>
    <row r="34">
      <c r="A34" s="35" t="inlineStr">
        <is>
          <t>--- CÓDIGO VBA EJEMPLO ---</t>
        </is>
      </c>
      <c r="B34" t="inlineStr"/>
    </row>
    <row r="35">
      <c r="A35" s="35" t="inlineStr">
        <is>
          <t>Sub RefrescarDashboard()</t>
        </is>
      </c>
      <c r="B35" t="inlineStr"/>
    </row>
    <row r="36">
      <c r="A36" s="35" t="inlineStr">
        <is>
          <t xml:space="preserve">    Dim http As Object</t>
        </is>
      </c>
      <c r="B36" t="inlineStr"/>
    </row>
    <row r="37">
      <c r="A37" s="35" t="inlineStr">
        <is>
          <t xml:space="preserve">    Set http = CreateObject('MSXML2.XMLHTTP')</t>
        </is>
      </c>
      <c r="B37" t="inlineStr"/>
    </row>
    <row r="38">
      <c r="A38" s="35" t="inlineStr">
        <is>
          <t xml:space="preserve">    http.Open 'GET', 'https://trongkai-engine.fly.dev/api/snapshot', False</t>
        </is>
      </c>
      <c r="B38" t="inlineStr"/>
    </row>
    <row r="39">
      <c r="A39" s="35" t="inlineStr">
        <is>
          <t xml:space="preserve">    http.Send</t>
        </is>
      </c>
      <c r="B39" t="inlineStr"/>
    </row>
    <row r="40">
      <c r="A40" s="35" t="inlineStr">
        <is>
          <t xml:space="preserve">    MsgBox 'Status: ' &amp; http.Status &amp; vbCrLf &amp; 'Body: ' &amp; Left(http.responseText, 200)</t>
        </is>
      </c>
      <c r="B40" t="inlineStr"/>
    </row>
    <row r="41">
      <c r="A41" s="35" t="inlineStr">
        <is>
          <t>End Sub</t>
        </is>
      </c>
      <c r="B41" t="inlineStr"/>
    </row>
    <row r="42">
      <c r="A42" t="inlineStr"/>
      <c r="B42" t="inlineStr"/>
    </row>
    <row r="43">
      <c r="A43" s="35" t="inlineStr">
        <is>
          <t>Sub DescargarTearsheetPDF()</t>
        </is>
      </c>
      <c r="B43" t="inlineStr"/>
    </row>
    <row r="44">
      <c r="A44" s="35" t="inlineStr">
        <is>
          <t xml:space="preserve">    Dim url As String</t>
        </is>
      </c>
      <c r="B44" t="inlineStr"/>
    </row>
    <row r="45">
      <c r="A45" s="35" t="inlineStr">
        <is>
          <t xml:space="preserve">    url = 'https://trongkai-engine.fly.dev/api/tearsheet.pdf'</t>
        </is>
      </c>
      <c r="B45" t="inlineStr"/>
    </row>
    <row r="46">
      <c r="A46" s="35" t="inlineStr">
        <is>
          <t xml:space="preserve">    ThisWorkbook.FollowHyperlink url</t>
        </is>
      </c>
      <c r="B46" t="inlineStr"/>
    </row>
    <row r="47">
      <c r="A47" s="35" t="inlineStr">
        <is>
          <t>End Sub</t>
        </is>
      </c>
      <c r="B47" t="inlineStr"/>
    </row>
    <row r="48">
      <c r="A48" t="inlineStr"/>
      <c r="B48" t="inlineStr"/>
    </row>
    <row r="49">
      <c r="A49" s="36" t="inlineStr">
        <is>
          <t>📁 GENERADO POR</t>
        </is>
      </c>
      <c r="B49" s="37" t="inlineStr">
        <is>
          <t>TrongkAI Platform</t>
        </is>
      </c>
    </row>
    <row r="50">
      <c r="A50" s="36" t="inlineStr">
        <is>
          <t>Fecha generación</t>
        </is>
      </c>
      <c r="B50" s="37" t="inlineStr">
        <is>
          <t>25 May 2026, 17:54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2026-05-25T21:53:59Z</dcterms:created>
  <dcterms:modified xmlns:dcterms="http://purl.org/dc/terms/" xmlns:xsi="http://www.w3.org/2001/XMLSchema-instance" xsi:type="dcterms:W3CDTF">2026-05-25T21:54:00Z</dcterms:modified>
</cp:coreProperties>
</file>
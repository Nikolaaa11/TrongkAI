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ARAMETROS" sheetId="2" state="visible" r:id="rId2"/>
    <sheet xmlns:r="http://schemas.openxmlformats.org/officeDocument/2006/relationships" name="FLUJO MASA" sheetId="3" state="visible" r:id="rId3"/>
    <sheet xmlns:r="http://schemas.openxmlformats.org/officeDocument/2006/relationships" name="COSTOS ETAPAS" sheetId="4" state="visible" r:id="rId4"/>
    <sheet xmlns:r="http://schemas.openxmlformats.org/officeDocument/2006/relationships" name="RUTAS" sheetId="5" state="visible" r:id="rId5"/>
    <sheet xmlns:r="http://schemas.openxmlformats.org/officeDocument/2006/relationships" name="POR VALIDAR" sheetId="6" state="visible" r:id="rId6"/>
  </sheets>
  <definedNames>
    <definedName name="TARIFA_KWH">PARAMETROS!$B$5</definedName>
    <definedName name="AGUA_M3">PARAMETROS!$B$6</definedName>
    <definedName name="ALCANT">PARAMETROS!$B$7</definedName>
    <definedName name="AGUA_TOTAL">PARAMETROS!$B$8</definedName>
    <definedName name="EUR_CLP">PARAMETROS!$B$9</definedName>
    <definedName name="USD_CLP">PARAMETROS!$B$10</definedName>
    <definedName name="MUESTRA">PARAMETROS!$B$11</definedName>
    <definedName name="TURNOS">PARAMETROS!$B$14</definedName>
    <definedName name="HORAS_TURNO">PARAMETROS!$B$15</definedName>
    <definedName name="HORAS_DIA">PARAMETROS!$B$16</definedName>
    <definedName name="CAMIONES">PARAMETROS!$B$17</definedName>
    <definedName name="TON_CAMION">PARAMETROS!$B$18</definedName>
    <definedName name="TON_MMPP">PARAMETROS!$B$19</definedName>
    <definedName name="HUM_IN">PARAMETROS!$B$20</definedName>
    <definedName name="AGUA_EST">PARAMETROS!$B$21</definedName>
    <definedName name="TON_PROCESO">PARAMETROS!$B$22</definedName>
    <definedName name="MP_SECA_IN">PARAMETROS!$B$23</definedName>
    <definedName name="PERDIDA">PARAMETROS!$B$24</definedName>
    <definedName name="TON_MES">PARAMETROS!$B$25</definedName>
    <definedName name="DIAS_MES">PARAMETROS!$B$26</definedName>
    <definedName name="S_LAB">PARAMETROS!$B$29</definedName>
    <definedName name="H_LAB">PARAMETROS!$E$29</definedName>
    <definedName name="S_RECEP">PARAMETROS!$B$30</definedName>
    <definedName name="H_RECEP">PARAMETROS!$E$30</definedName>
    <definedName name="S_OP">PARAMETROS!$B$31</definedName>
    <definedName name="H_OP">PARAMETROS!$E$31</definedName>
    <definedName name="S_SUP">PARAMETROS!$B$32</definedName>
    <definedName name="H_SUP">PARAMETROS!$E$32</definedName>
    <definedName name="H_MES">PARAMETROS!$B$33</definedName>
    <definedName name="SACO_CLP">PARAMETROS!$B$36</definedName>
    <definedName name="SACO_KG">PARAMETROS!$B$37</definedName>
    <definedName name="MAXI_CLP">PARAMETROS!$B$38</definedName>
    <definedName name="MAXI_KG">PARAMETROS!$B$39</definedName>
    <definedName name="PALLET">PARAMETROS!$B$40</definedName>
    <definedName name="PALLET_MES">PARAMETROS!$B$41</definedName>
    <definedName name="DESINF">PARAMETROS!$B$42</definedName>
    <definedName name="AGUA_LIMP_M3">PARAMETROS!$B$43</definedName>
    <definedName name="ELEC_EUR">PARAMETROS!$B$46</definedName>
    <definedName name="ELEC_JUEGO_TON">PARAMETROS!$E$46</definedName>
    <definedName name="CAM_EUR">PARAMETROS!$B$47</definedName>
    <definedName name="CAM_JUEGO_TON">PARAMETROS!$E$47</definedName>
    <definedName name="ELEC_TON">PARAMETROS!$B$48</definedName>
    <definedName name="CAM_TON">PARAMETROS!$B$49</definedName>
    <definedName name="MP_SECA_FIN">'FLUJO MASA'!$G$16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0.0%"/>
    <numFmt numFmtId="166" formatCode="0.0"/>
    <numFmt numFmtId="167" formatCode="#,##0.00;(#,##0.00);&quot;-&quot;"/>
    <numFmt numFmtId="168" formatCode="0.00&quot;x&quot;"/>
  </numFmts>
  <fonts count="8">
    <font>
      <name val="Calibri"/>
      <family val="2"/>
      <color theme="1"/>
      <sz val="11"/>
      <scheme val="minor"/>
    </font>
    <font>
      <name val="Arial"/>
      <b val="1"/>
      <color rgb="001D1D1F"/>
      <sz val="16"/>
    </font>
    <font>
      <name val="Arial"/>
      <color rgb="006E6E73"/>
      <sz val="10"/>
    </font>
    <font>
      <name val="Arial"/>
      <b val="1"/>
      <color rgb="001D1D1F"/>
      <sz val="10"/>
    </font>
    <font>
      <name val="Arial"/>
      <color rgb="001D1D1F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E8E8ED"/>
      </patternFill>
    </fill>
    <fill>
      <patternFill patternType="solid">
        <fgColor rgb="00FFFF00"/>
      </patternFill>
    </fill>
    <fill>
      <patternFill patternType="solid">
        <fgColor rgb="001D1D1F"/>
      </patternFill>
    </fill>
  </fills>
  <borders count="2">
    <border>
      <left/>
      <right/>
      <top/>
      <bottom/>
      <diagonal/>
    </border>
    <border>
      <bottom style="thin">
        <color rgb="00D2D2D7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1" pivotButton="0" quotePrefix="0" xfId="0"/>
    <xf numFmtId="164" fontId="7" fillId="0" borderId="1" pivotButton="0" quotePrefix="0" xfId="0"/>
    <xf numFmtId="0" fontId="2" fillId="0" borderId="1" pivotButton="0" quotePrefix="0" xfId="0"/>
    <xf numFmtId="0" fontId="0" fillId="0" borderId="1" pivotButton="0" quotePrefix="0" xfId="0"/>
    <xf numFmtId="4" fontId="7" fillId="0" borderId="1" pivotButton="0" quotePrefix="0" xfId="0"/>
    <xf numFmtId="0" fontId="4" fillId="0" borderId="0" pivotButton="0" quotePrefix="0" xfId="0"/>
    <xf numFmtId="164" fontId="5" fillId="0" borderId="0" pivotButton="0" quotePrefix="0" xfId="0"/>
    <xf numFmtId="164" fontId="5" fillId="3" borderId="0" pivotButton="0" quotePrefix="0" xfId="0"/>
    <xf numFmtId="164" fontId="4" fillId="0" borderId="0" pivotButton="0" quotePrefix="0" xfId="0"/>
    <xf numFmtId="1" fontId="5" fillId="0" borderId="0" pivotButton="0" quotePrefix="0" xfId="0"/>
    <xf numFmtId="1" fontId="4" fillId="0" borderId="0" pivotButton="0" quotePrefix="0" xfId="0"/>
    <xf numFmtId="4" fontId="4" fillId="0" borderId="0" pivotButton="0" quotePrefix="0" xfId="0"/>
    <xf numFmtId="165" fontId="5" fillId="0" borderId="0" pivotButton="0" quotePrefix="0" xfId="0"/>
    <xf numFmtId="2" fontId="5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167" fontId="5" fillId="3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3" fillId="0" borderId="1" pivotButton="0" quotePrefix="0" xfId="0"/>
    <xf numFmtId="4" fontId="5" fillId="0" borderId="1" pivotButton="0" quotePrefix="0" xfId="0"/>
    <xf numFmtId="165" fontId="5" fillId="0" borderId="1" pivotButton="0" quotePrefix="0" xfId="0"/>
    <xf numFmtId="4" fontId="4" fillId="0" borderId="1" pivotButton="0" quotePrefix="0" xfId="0"/>
    <xf numFmtId="0" fontId="3" fillId="0" borderId="0" pivotButton="0" quotePrefix="0" xfId="0"/>
    <xf numFmtId="4" fontId="3" fillId="0" borderId="0" pivotButton="0" quotePrefix="0" xfId="0"/>
    <xf numFmtId="2" fontId="5" fillId="0" borderId="1" pivotButton="0" quotePrefix="0" xfId="0"/>
    <xf numFmtId="164" fontId="4" fillId="0" borderId="1" pivotButton="0" quotePrefix="0" xfId="0"/>
    <xf numFmtId="167" fontId="7" fillId="0" borderId="1" pivotButton="0" quotePrefix="0" xfId="0"/>
    <xf numFmtId="167" fontId="5" fillId="0" borderId="1" pivotButton="0" quotePrefix="0" xfId="0"/>
    <xf numFmtId="164" fontId="3" fillId="0" borderId="1" pivotButton="0" quotePrefix="0" xfId="0"/>
    <xf numFmtId="167" fontId="2" fillId="0" borderId="1" pivotButton="0" quotePrefix="0" xfId="0"/>
    <xf numFmtId="167" fontId="4" fillId="0" borderId="1" pivotButton="0" quotePrefix="0" xfId="0"/>
    <xf numFmtId="168" fontId="4" fillId="0" borderId="0" pivotButton="0" quotePrefix="0" xfId="0"/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TrongkAI</author>
  </authors>
  <commentList>
    <comment ref="K6" authorId="0" shapeId="0">
      <text>
        <t>Residual de conciliación con el Excel origen (descomposición interna ambigua en la fuente).</t>
      </text>
    </comment>
    <comment ref="K15" authorId="0" shapeId="0">
      <text>
        <t>Residual de conciliación con el Excel origen (descomposición interna ambigua en la fuente).</t>
      </text>
    </comment>
    <comment ref="K16" authorId="0" shapeId="0">
      <text>
        <t>Residual de conciliación con el Excel origen (descomposición interna ambigua en la fuente).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40" customWidth="1" min="4" max="4"/>
  </cols>
  <sheetData>
    <row r="1">
      <c r="A1" s="1" t="inlineStr">
        <is>
          <t>Costos por Procesos — v3</t>
        </is>
      </c>
    </row>
    <row r="2">
      <c r="A2" s="2" t="inlineStr">
        <is>
          <t>Modelo afinado TrongkAI · Fuente: Excel equipo 03-jul-2026 · Costo VARIABLE de procesamiento por ton de materia seca</t>
        </is>
      </c>
    </row>
    <row r="4">
      <c r="A4" s="3" t="inlineStr">
        <is>
          <t>INDICADORES CLAVE</t>
        </is>
      </c>
      <c r="B4" s="4" t="n"/>
      <c r="C4" s="4" t="n"/>
      <c r="D4" s="4" t="n"/>
    </row>
    <row r="5">
      <c r="A5" s="5" t="inlineStr">
        <is>
          <t>Ruta SACO (Excel origen)</t>
        </is>
      </c>
      <c r="B5" s="6">
        <f>RUTAS!E5</f>
        <v/>
      </c>
      <c r="C5" s="7" t="inlineStr">
        <is>
          <t>CLP/día</t>
        </is>
      </c>
      <c r="D5" s="8" t="n"/>
    </row>
    <row r="6">
      <c r="A6" s="5" t="inlineStr">
        <is>
          <t>Ruta MAXISACO (Excel origen)</t>
        </is>
      </c>
      <c r="B6" s="6">
        <f>RUTAS!E6</f>
        <v/>
      </c>
      <c r="C6" s="7" t="inlineStr">
        <is>
          <t>CLP/día</t>
        </is>
      </c>
      <c r="D6" s="8" t="n"/>
    </row>
    <row r="7">
      <c r="A7" s="5" t="inlineStr">
        <is>
          <t>Costo por ton MP seca — SACO</t>
        </is>
      </c>
      <c r="B7" s="6">
        <f>RUTAS!F5</f>
        <v/>
      </c>
      <c r="C7" s="7" t="inlineStr">
        <is>
          <t>CLP/ton</t>
        </is>
      </c>
      <c r="D7" s="8" t="n"/>
    </row>
    <row r="8">
      <c r="A8" s="5" t="inlineStr">
        <is>
          <t>Costo por ton MP seca — MAXISACO</t>
        </is>
      </c>
      <c r="B8" s="6">
        <f>RUTAS!F6</f>
        <v/>
      </c>
      <c r="C8" s="7" t="inlineStr">
        <is>
          <t>CLP/ton</t>
        </is>
      </c>
      <c r="D8" s="8" t="n"/>
    </row>
    <row r="9">
      <c r="A9" s="5" t="inlineStr">
        <is>
          <t>Ahorro si se elige maxisaco</t>
        </is>
      </c>
      <c r="B9" s="6">
        <f>RUTAS!E13</f>
        <v/>
      </c>
      <c r="C9" s="7" t="inlineStr">
        <is>
          <t>CLP/mes</t>
        </is>
      </c>
      <c r="D9" s="8" t="n"/>
    </row>
    <row r="10">
      <c r="A10" s="5" t="inlineStr">
        <is>
          <t>Ruta más barata (maxisaco+tricanter+residual)</t>
        </is>
      </c>
      <c r="B10" s="6">
        <f>RUTAS!F9</f>
        <v/>
      </c>
      <c r="C10" s="7" t="inlineStr">
        <is>
          <t>CLP/ton</t>
        </is>
      </c>
      <c r="D10" s="8" t="n"/>
    </row>
    <row r="11">
      <c r="A11" s="5" t="inlineStr">
        <is>
          <t>MP seca final por día</t>
        </is>
      </c>
      <c r="B11" s="9">
        <f>MP_SECA_FIN</f>
        <v/>
      </c>
      <c r="C11" s="7" t="inlineStr">
        <is>
          <t>ton/día</t>
        </is>
      </c>
      <c r="D11" s="8" t="n"/>
    </row>
    <row r="12">
      <c r="A12" s="5" t="inlineStr">
        <is>
          <t>Toneladas a procesar por día</t>
        </is>
      </c>
      <c r="B12" s="9">
        <f>TON_PROCESO</f>
        <v/>
      </c>
      <c r="C12" s="7" t="inlineStr">
        <is>
          <t>ton/día</t>
        </is>
      </c>
      <c r="D12" s="8" t="n"/>
    </row>
    <row r="14">
      <c r="A14" s="3" t="inlineStr">
        <is>
          <t>LA REGLA DE ORO</t>
        </is>
      </c>
      <c r="B14" s="4" t="n"/>
      <c r="C14" s="4" t="n"/>
      <c r="D14" s="4" t="n"/>
    </row>
    <row r="15">
      <c r="A15" s="10" t="inlineStr">
        <is>
          <t>• Este modelo mide el costo VARIABLE de procesamiento por tonelada de MATERIA SECA.</t>
        </is>
      </c>
    </row>
    <row r="16">
      <c r="A16" s="10" t="inlineStr">
        <is>
          <t>• NO incluye: arriendos PEF/Tricanter, leyes sociales (x1,35), fletes, overhead ni MMPP.</t>
        </is>
      </c>
    </row>
    <row r="17">
      <c r="A17" s="10" t="inlineStr">
        <is>
          <t>• El OPEX completo del piloto vive en la plataforma (trongkai-web.vercel.app/simulacion): 19.114 CLP/kg SKU.</t>
        </is>
      </c>
    </row>
    <row r="18">
      <c r="A18" s="10" t="inlineStr">
        <is>
          <t>• Nunca comparar 195 CLP/kg (materia seca, variable) contra 19.114 CLP/kg (SKU final, completo).</t>
        </is>
      </c>
    </row>
    <row r="19">
      <c r="A19" s="10" t="inlineStr">
        <is>
          <t>• Hojas: PARAMETROS (editar azul) → FLUJO MASA → COSTOS ETAPAS → RUTAS → POR VALIDAR.</t>
        </is>
      </c>
    </row>
    <row r="22">
      <c r="A22" s="3" t="inlineStr">
        <is>
          <t>LEYENDA DE COLORES</t>
        </is>
      </c>
      <c r="B22" s="4" t="n"/>
      <c r="C22" s="4" t="n"/>
      <c r="D22" s="4" t="n"/>
    </row>
    <row r="23">
      <c r="A23" s="2" t="inlineStr">
        <is>
          <t>Azul = input editable · Negro = fórmula · Verde = link entre hojas · Amarillo = por validar con el equipo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62" customWidth="1" min="4" max="4"/>
    <col width="4" customWidth="1" min="5" max="5"/>
  </cols>
  <sheetData>
    <row r="1">
      <c r="A1" s="1" t="inlineStr">
        <is>
          <t>Parámetros del modelo</t>
        </is>
      </c>
    </row>
    <row r="2">
      <c r="A2" s="2" t="inlineStr">
        <is>
          <t>Celdas AZULES = editables. Todo el modelo recalcula al cambiarlas. Fuente: costos por procesos (3).xlsx — equipo 03-jul-2026</t>
        </is>
      </c>
    </row>
    <row r="4">
      <c r="A4" s="3" t="inlineStr">
        <is>
          <t>TARIFAS Y CAMBIO</t>
        </is>
      </c>
      <c r="B4" s="4" t="n"/>
      <c r="C4" s="4" t="n"/>
      <c r="D4" s="4" t="n"/>
      <c r="E4" s="4" t="n"/>
    </row>
    <row r="5">
      <c r="A5" s="10" t="inlineStr">
        <is>
          <t>Energía eléctrica</t>
        </is>
      </c>
      <c r="B5" s="11" t="n">
        <v>270</v>
      </c>
      <c r="C5" s="2" t="inlineStr">
        <is>
          <t>CLP/kWh</t>
        </is>
      </c>
      <c r="D5" s="2" t="inlineStr">
        <is>
          <t>Excel equipo 03-jul-2026. Validar si incluye potencia y cargos fijos</t>
        </is>
      </c>
    </row>
    <row r="6">
      <c r="A6" s="10" t="inlineStr">
        <is>
          <t>Agua</t>
        </is>
      </c>
      <c r="B6" s="11" t="n">
        <v>800</v>
      </c>
      <c r="C6" s="2" t="inlineStr">
        <is>
          <t>CLP/m³</t>
        </is>
      </c>
      <c r="D6" s="2" t="inlineStr">
        <is>
          <t>Canon equipo</t>
        </is>
      </c>
    </row>
    <row r="7">
      <c r="A7" s="10" t="inlineStr">
        <is>
          <t>Alcantarillado / tratamiento</t>
        </is>
      </c>
      <c r="B7" s="12" t="n">
        <v>950</v>
      </c>
      <c r="C7" s="2" t="inlineStr">
        <is>
          <t>CLP/m³</t>
        </is>
      </c>
      <c r="D7" s="2" t="inlineStr">
        <is>
          <t>POR VALIDAR si se paga</t>
        </is>
      </c>
    </row>
    <row r="8">
      <c r="A8" s="10" t="inlineStr">
        <is>
          <t>Agua total limpieza</t>
        </is>
      </c>
      <c r="B8" s="13">
        <f>B6+B7</f>
        <v/>
      </c>
      <c r="C8" s="2" t="inlineStr">
        <is>
          <t>CLP/m³</t>
        </is>
      </c>
      <c r="D8" s="2" t="inlineStr">
        <is>
          <t>Agua + alcantarillado</t>
        </is>
      </c>
    </row>
    <row r="9">
      <c r="A9" s="10" t="inlineStr">
        <is>
          <t>EUR / CLP</t>
        </is>
      </c>
      <c r="B9" s="11" t="n">
        <v>1050</v>
      </c>
      <c r="C9" s="2" t="inlineStr">
        <is>
          <t>CLP</t>
        </is>
      </c>
      <c r="D9" s="2" t="inlineStr">
        <is>
          <t>Canon equipo</t>
        </is>
      </c>
    </row>
    <row r="10">
      <c r="A10" s="10" t="inlineStr">
        <is>
          <t>USD / CLP</t>
        </is>
      </c>
      <c r="B10" s="11" t="n">
        <v>900</v>
      </c>
      <c r="C10" s="2" t="inlineStr">
        <is>
          <t>CLP</t>
        </is>
      </c>
      <c r="D10" s="2" t="inlineStr">
        <is>
          <t>Canon equipo</t>
        </is>
      </c>
    </row>
    <row r="11">
      <c r="A11" s="10" t="inlineStr">
        <is>
          <t>Costo por muestra laboratorio</t>
        </is>
      </c>
      <c r="B11" s="11" t="n">
        <v>1500</v>
      </c>
      <c r="C11" s="2" t="inlineStr">
        <is>
          <t>CLP</t>
        </is>
      </c>
      <c r="D11" s="2" t="inlineStr">
        <is>
          <t>Acidez, humedad, estabilidad</t>
        </is>
      </c>
    </row>
    <row r="13">
      <c r="A13" s="3" t="inlineStr">
        <is>
          <t>OPERACIÓN</t>
        </is>
      </c>
      <c r="B13" s="4" t="n"/>
      <c r="C13" s="4" t="n"/>
      <c r="D13" s="4" t="n"/>
      <c r="E13" s="4" t="n"/>
    </row>
    <row r="14">
      <c r="A14" s="10" t="inlineStr">
        <is>
          <t>Turnos por día</t>
        </is>
      </c>
      <c r="B14" s="14" t="n">
        <v>2</v>
      </c>
      <c r="C14" s="2" t="inlineStr">
        <is>
          <t>turnos</t>
        </is>
      </c>
      <c r="D14" s="2" t="inlineStr"/>
    </row>
    <row r="15">
      <c r="A15" s="10" t="inlineStr">
        <is>
          <t>Horas por turno</t>
        </is>
      </c>
      <c r="B15" s="14" t="n">
        <v>8</v>
      </c>
      <c r="C15" s="2" t="inlineStr">
        <is>
          <t>h</t>
        </is>
      </c>
      <c r="D15" s="2" t="inlineStr"/>
    </row>
    <row r="16">
      <c r="A16" s="10" t="inlineStr">
        <is>
          <t>Horas operación/día</t>
        </is>
      </c>
      <c r="B16" s="15">
        <f>B14*B15</f>
        <v/>
      </c>
      <c r="C16" s="2" t="inlineStr">
        <is>
          <t>h/día</t>
        </is>
      </c>
      <c r="D16" s="2" t="inlineStr"/>
    </row>
    <row r="17">
      <c r="A17" s="10" t="inlineStr">
        <is>
          <t>Camiones por día</t>
        </is>
      </c>
      <c r="B17" s="14" t="n">
        <v>3</v>
      </c>
      <c r="C17" s="2" t="inlineStr">
        <is>
          <t>camiones</t>
        </is>
      </c>
      <c r="D17" s="2" t="inlineStr"/>
    </row>
    <row r="18">
      <c r="A18" s="10" t="inlineStr">
        <is>
          <t>Toneladas por camión</t>
        </is>
      </c>
      <c r="B18" s="14" t="n">
        <v>22</v>
      </c>
      <c r="C18" s="2" t="inlineStr">
        <is>
          <t>ton</t>
        </is>
      </c>
      <c r="D18" s="2" t="inlineStr"/>
    </row>
    <row r="19">
      <c r="A19" s="10" t="inlineStr">
        <is>
          <t>Ton MMPP recibidas/día</t>
        </is>
      </c>
      <c r="B19" s="16">
        <f>B17*B18</f>
        <v/>
      </c>
      <c r="C19" s="2" t="inlineStr">
        <is>
          <t>ton/día</t>
        </is>
      </c>
      <c r="D19" s="2" t="inlineStr"/>
    </row>
    <row r="20">
      <c r="A20" s="10" t="inlineStr">
        <is>
          <t>Humedad ingreso MMPP</t>
        </is>
      </c>
      <c r="B20" s="17" t="n">
        <v>0.6</v>
      </c>
      <c r="C20" s="2" t="inlineStr">
        <is>
          <t>%</t>
        </is>
      </c>
      <c r="D20" s="2" t="inlineStr">
        <is>
          <t>Canon equipo</t>
        </is>
      </c>
    </row>
    <row r="21">
      <c r="A21" s="10" t="inlineStr">
        <is>
          <t>Agua incorporada estandarización</t>
        </is>
      </c>
      <c r="B21" s="18" t="n">
        <v>0.25</v>
      </c>
      <c r="C21" s="2" t="inlineStr">
        <is>
          <t>m³/ton</t>
        </is>
      </c>
      <c r="D21" s="2" t="inlineStr"/>
    </row>
    <row r="22">
      <c r="A22" s="10" t="inlineStr">
        <is>
          <t>Ton a procesar/día</t>
        </is>
      </c>
      <c r="B22" s="16">
        <f>B19*(1+B21)</f>
        <v/>
      </c>
      <c r="C22" s="2" t="inlineStr">
        <is>
          <t>ton/día</t>
        </is>
      </c>
      <c r="D22" s="2" t="inlineStr">
        <is>
          <t>MMPP + agua incorporada</t>
        </is>
      </c>
    </row>
    <row r="23">
      <c r="A23" s="10" t="inlineStr">
        <is>
          <t>Ton MP seca ingreso</t>
        </is>
      </c>
      <c r="B23" s="16">
        <f>B19*(1-B20)</f>
        <v/>
      </c>
      <c r="C23" s="2" t="inlineStr">
        <is>
          <t>ton/día</t>
        </is>
      </c>
      <c r="D23" s="2" t="inlineStr"/>
    </row>
    <row r="24">
      <c r="A24" s="10" t="inlineStr">
        <is>
          <t>Pérdida por etapa</t>
        </is>
      </c>
      <c r="B24" s="17" t="n">
        <v>0.005</v>
      </c>
      <c r="C24" s="2" t="inlineStr">
        <is>
          <t>%</t>
        </is>
      </c>
      <c r="D24" s="2" t="inlineStr">
        <is>
          <t>Uniforme, canon equipo</t>
        </is>
      </c>
    </row>
    <row r="25">
      <c r="A25" s="10" t="inlineStr">
        <is>
          <t>Recepción mensual</t>
        </is>
      </c>
      <c r="B25" s="11" t="n">
        <v>2000</v>
      </c>
      <c r="C25" s="2" t="inlineStr">
        <is>
          <t>ton/mes</t>
        </is>
      </c>
      <c r="D25" s="2" t="inlineStr"/>
    </row>
    <row r="26">
      <c r="A26" s="10" t="inlineStr">
        <is>
          <t>Días equivalentes/mes</t>
        </is>
      </c>
      <c r="B26" s="19">
        <f>B25/B19</f>
        <v/>
      </c>
      <c r="C26" s="2" t="inlineStr">
        <is>
          <t>días</t>
        </is>
      </c>
      <c r="D26" s="2" t="inlineStr">
        <is>
          <t>Recepción mensual / ton día</t>
        </is>
      </c>
    </row>
    <row r="28">
      <c r="A28" s="3" t="inlineStr">
        <is>
          <t>RRHH (sueldo bruto mensual — sin leyes sociales, réplica Excel)</t>
        </is>
      </c>
      <c r="B28" s="4" t="n"/>
      <c r="C28" s="4" t="n"/>
      <c r="D28" s="4" t="n"/>
      <c r="E28" s="4" t="n"/>
    </row>
    <row r="29">
      <c r="A29" s="10" t="inlineStr">
        <is>
          <t>Laboratorista</t>
        </is>
      </c>
      <c r="B29" s="11" t="n">
        <v>1500000</v>
      </c>
      <c r="C29" s="2" t="inlineStr">
        <is>
          <t>CLP/mes</t>
        </is>
      </c>
      <c r="D29" s="2" t="inlineStr">
        <is>
          <t>Valor hora en col. E</t>
        </is>
      </c>
      <c r="E29" s="20">
        <f>B29/B$33</f>
        <v/>
      </c>
    </row>
    <row r="30">
      <c r="A30" s="10" t="inlineStr">
        <is>
          <t>Recepcionista</t>
        </is>
      </c>
      <c r="B30" s="11" t="n">
        <v>1000000</v>
      </c>
      <c r="C30" s="2" t="inlineStr">
        <is>
          <t>CLP/mes</t>
        </is>
      </c>
      <c r="D30" s="2" t="inlineStr"/>
      <c r="E30" s="20">
        <f>B30/B$33</f>
        <v/>
      </c>
    </row>
    <row r="31">
      <c r="A31" s="10" t="inlineStr">
        <is>
          <t>Operario planta</t>
        </is>
      </c>
      <c r="B31" s="11" t="n">
        <v>1000000</v>
      </c>
      <c r="C31" s="2" t="inlineStr">
        <is>
          <t>CLP/mes</t>
        </is>
      </c>
      <c r="D31" s="2" t="inlineStr"/>
      <c r="E31" s="20">
        <f>B31/B$33</f>
        <v/>
      </c>
    </row>
    <row r="32">
      <c r="A32" s="10" t="inlineStr">
        <is>
          <t>Supervisor de planta</t>
        </is>
      </c>
      <c r="B32" s="11" t="n">
        <v>1500000</v>
      </c>
      <c r="C32" s="2" t="inlineStr">
        <is>
          <t>CLP/mes</t>
        </is>
      </c>
      <c r="D32" s="2" t="inlineStr"/>
      <c r="E32" s="20">
        <f>B32/B$33</f>
        <v/>
      </c>
    </row>
    <row r="33">
      <c r="A33" s="10" t="inlineStr">
        <is>
          <t>Horas por mes</t>
        </is>
      </c>
      <c r="B33" s="14" t="n">
        <v>160</v>
      </c>
      <c r="C33" s="2" t="inlineStr">
        <is>
          <t>h/mes</t>
        </is>
      </c>
      <c r="D33" s="2" t="inlineStr">
        <is>
          <t>Base valor hora (Excel origen). OJO: EERR formal usa x1,35 leyes sociales</t>
        </is>
      </c>
    </row>
    <row r="35">
      <c r="A35" s="3" t="inlineStr">
        <is>
          <t>PACKAGING E INSUMOS</t>
        </is>
      </c>
      <c r="B35" s="4" t="n"/>
      <c r="C35" s="4" t="n"/>
      <c r="D35" s="4" t="n"/>
      <c r="E35" s="4" t="n"/>
    </row>
    <row r="36">
      <c r="A36" s="10" t="inlineStr">
        <is>
          <t>Saco 25 kg</t>
        </is>
      </c>
      <c r="B36" s="11" t="n">
        <v>3000</v>
      </c>
      <c r="C36" s="2" t="inlineStr">
        <is>
          <t>CLP/unidad</t>
        </is>
      </c>
      <c r="D36" s="2" t="inlineStr"/>
    </row>
    <row r="37">
      <c r="A37" s="10" t="inlineStr">
        <is>
          <t>Kg por saco</t>
        </is>
      </c>
      <c r="B37" s="14" t="n">
        <v>25</v>
      </c>
      <c r="C37" s="2" t="inlineStr">
        <is>
          <t>kg</t>
        </is>
      </c>
      <c r="D37" s="2" t="inlineStr"/>
    </row>
    <row r="38">
      <c r="A38" s="10" t="inlineStr">
        <is>
          <t>Maxisaco 800 kg</t>
        </is>
      </c>
      <c r="B38" s="11" t="n">
        <v>10000</v>
      </c>
      <c r="C38" s="2" t="inlineStr">
        <is>
          <t>CLP/unidad</t>
        </is>
      </c>
      <c r="D38" s="2" t="inlineStr"/>
    </row>
    <row r="39">
      <c r="A39" s="10" t="inlineStr">
        <is>
          <t>Kg por maxisaco</t>
        </is>
      </c>
      <c r="B39" s="14" t="n">
        <v>800</v>
      </c>
      <c r="C39" s="2" t="inlineStr">
        <is>
          <t>kg</t>
        </is>
      </c>
      <c r="D39" s="2" t="inlineStr"/>
    </row>
    <row r="40">
      <c r="A40" s="10" t="inlineStr">
        <is>
          <t>Pallet (compra)</t>
        </is>
      </c>
      <c r="B40" s="11" t="n">
        <v>28000</v>
      </c>
      <c r="C40" s="2" t="inlineStr">
        <is>
          <t>CLP/unidad</t>
        </is>
      </c>
      <c r="D40" s="2" t="inlineStr">
        <is>
          <t>40 sacos por pallet</t>
        </is>
      </c>
    </row>
    <row r="41">
      <c r="A41" s="10" t="inlineStr">
        <is>
          <t>Arriendo pallet</t>
        </is>
      </c>
      <c r="B41" s="11" t="n">
        <v>1000</v>
      </c>
      <c r="C41" s="2" t="inlineStr">
        <is>
          <t>CLP/mes</t>
        </is>
      </c>
      <c r="D41" s="2" t="inlineStr"/>
    </row>
    <row r="42">
      <c r="A42" s="10" t="inlineStr">
        <is>
          <t>Desinfectantes por etapa</t>
        </is>
      </c>
      <c r="B42" s="21" t="n">
        <v>802.33</v>
      </c>
      <c r="C42" s="2" t="inlineStr">
        <is>
          <t>CLP/día</t>
        </is>
      </c>
      <c r="D42" s="2" t="inlineStr">
        <is>
          <t>POR VALIDAR: valor idéntico al EUR de electrodos (posible copia)</t>
        </is>
      </c>
    </row>
    <row r="43">
      <c r="A43" s="10" t="inlineStr">
        <is>
          <t>Agua limpieza por etapa</t>
        </is>
      </c>
      <c r="B43" s="22" t="n">
        <v>1</v>
      </c>
      <c r="C43" s="2" t="inlineStr">
        <is>
          <t>m³/día</t>
        </is>
      </c>
      <c r="D43" s="2" t="inlineStr"/>
    </row>
    <row r="45">
      <c r="A45" s="3" t="inlineStr">
        <is>
          <t>REPUESTOS PEF (amortizados por tonelada procesada)</t>
        </is>
      </c>
      <c r="B45" s="4" t="n"/>
      <c r="C45" s="4" t="n"/>
      <c r="D45" s="4" t="n"/>
      <c r="E45" s="4" t="n"/>
    </row>
    <row r="46">
      <c r="A46" s="10" t="inlineStr">
        <is>
          <t>Electrodos PEF</t>
        </is>
      </c>
      <c r="B46" s="21" t="n">
        <v>802.33</v>
      </c>
      <c r="C46" s="2" t="inlineStr">
        <is>
          <t>EUR/juego</t>
        </is>
      </c>
      <c r="D46" s="2" t="inlineStr">
        <is>
          <t>Duración 300 h — POR VALIDAR: sistema indica 200 h</t>
        </is>
      </c>
      <c r="E46" s="11" t="n">
        <v>1200</v>
      </c>
    </row>
    <row r="47">
      <c r="A47" s="10" t="inlineStr">
        <is>
          <t>Cámara geometría específica</t>
        </is>
      </c>
      <c r="B47" s="23" t="n">
        <v>2855.99</v>
      </c>
      <c r="C47" s="2" t="inlineStr">
        <is>
          <t>EUR/juego</t>
        </is>
      </c>
      <c r="D47" s="2" t="inlineStr">
        <is>
          <t>Duración 600 h · col. E = ton por juego</t>
        </is>
      </c>
      <c r="E47" s="11" t="n">
        <v>2400</v>
      </c>
    </row>
    <row r="48">
      <c r="A48" s="10" t="inlineStr">
        <is>
          <t>Electrodos CLP/ton procesada</t>
        </is>
      </c>
      <c r="B48" s="20">
        <f>B46*B10/E46</f>
        <v/>
      </c>
      <c r="C48" s="2" t="inlineStr">
        <is>
          <t>CLP/ton</t>
        </is>
      </c>
      <c r="D48" s="2" t="inlineStr"/>
    </row>
    <row r="49">
      <c r="A49" s="10" t="inlineStr">
        <is>
          <t>Cámara CLP/ton procesada</t>
        </is>
      </c>
      <c r="B49" s="20">
        <f>B47*B10/E47</f>
        <v/>
      </c>
      <c r="C49" s="2" t="inlineStr">
        <is>
          <t>CLP/ton</t>
        </is>
      </c>
      <c r="D49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11" customWidth="1" min="3" max="3"/>
    <col width="11" customWidth="1" min="4" max="4"/>
    <col width="13" customWidth="1" min="5" max="5"/>
    <col width="13" customWidth="1" min="6" max="6"/>
    <col width="13" customWidth="1" min="7" max="7"/>
    <col width="46" customWidth="1" min="8" max="8"/>
  </cols>
  <sheetData>
    <row r="1">
      <c r="A1" s="1" t="inlineStr">
        <is>
          <t>Flujo de masa por etapa</t>
        </is>
      </c>
    </row>
    <row r="2">
      <c r="A2" s="2" t="inlineStr">
        <is>
          <t>Cadena de humedad y pérdidas (0,5% por etapa). MP seca: 26,4 → 25,36 ton/día en 8 pasos.</t>
        </is>
      </c>
    </row>
    <row r="4">
      <c r="A4" s="24" t="inlineStr">
        <is>
          <t>Etapa</t>
        </is>
      </c>
      <c r="B4" s="24" t="inlineStr">
        <is>
          <t>Proceso</t>
        </is>
      </c>
      <c r="C4" s="24" t="inlineStr">
        <is>
          <t>Ton entra</t>
        </is>
      </c>
      <c r="D4" s="24" t="inlineStr">
        <is>
          <t>Ton sale</t>
        </is>
      </c>
      <c r="E4" s="24" t="inlineStr">
        <is>
          <t>Humedad entra</t>
        </is>
      </c>
      <c r="F4" s="24" t="inlineStr">
        <is>
          <t>Humedad sale</t>
        </is>
      </c>
      <c r="G4" s="24" t="inlineStr">
        <is>
          <t>MP seca (ton)</t>
        </is>
      </c>
      <c r="H4" s="24" t="inlineStr">
        <is>
          <t>Nota</t>
        </is>
      </c>
    </row>
    <row r="5">
      <c r="A5" s="25" t="inlineStr">
        <is>
          <t>E1</t>
        </is>
      </c>
      <c r="B5" s="5" t="inlineStr">
        <is>
          <t>Recepción MP</t>
        </is>
      </c>
      <c r="C5" s="26" t="n">
        <v>66</v>
      </c>
      <c r="D5" s="26" t="n">
        <v>66</v>
      </c>
      <c r="E5" s="27" t="n">
        <v>0.6</v>
      </c>
      <c r="F5" s="27" t="n">
        <v>0.6</v>
      </c>
      <c r="G5" s="9">
        <f>MP_SECA_IN</f>
        <v/>
      </c>
      <c r="H5" s="7" t="inlineStr">
        <is>
          <t>3 camiones × 22 ton. Muestreo por camión</t>
        </is>
      </c>
    </row>
    <row r="6">
      <c r="A6" s="25" t="inlineStr">
        <is>
          <t>E2</t>
        </is>
      </c>
      <c r="B6" s="5" t="inlineStr">
        <is>
          <t>Estandarización</t>
        </is>
      </c>
      <c r="C6" s="26" t="n">
        <v>66</v>
      </c>
      <c r="D6" s="26" t="n">
        <v>82.5</v>
      </c>
      <c r="E6" s="27" t="n">
        <v>0.6</v>
      </c>
      <c r="F6" s="27" t="n">
        <v>0.6830000000000001</v>
      </c>
      <c r="G6" s="28">
        <f>G5*(1-PERDIDA)</f>
        <v/>
      </c>
      <c r="H6" s="7" t="inlineStr">
        <is>
          <t>Incorpora 0,25 m³ agua/ton</t>
        </is>
      </c>
    </row>
    <row r="7">
      <c r="A7" s="25" t="inlineStr">
        <is>
          <t>E3</t>
        </is>
      </c>
      <c r="B7" s="5" t="inlineStr">
        <is>
          <t>PEF (electroporación)</t>
        </is>
      </c>
      <c r="C7" s="26" t="n">
        <v>82.5</v>
      </c>
      <c r="D7" s="26" t="n">
        <v>82.5</v>
      </c>
      <c r="E7" s="27" t="n">
        <v>0.6830000000000001</v>
      </c>
      <c r="F7" s="27" t="n">
        <v>0.6830000000000001</v>
      </c>
      <c r="G7" s="28">
        <f>G6*(1-PERDIDA)</f>
        <v/>
      </c>
      <c r="H7" s="7" t="inlineStr">
        <is>
          <t>Repuestos amortizados por ton</t>
        </is>
      </c>
    </row>
    <row r="8">
      <c r="A8" s="25" t="inlineStr">
        <is>
          <t>E4.1</t>
        </is>
      </c>
      <c r="B8" s="5" t="inlineStr">
        <is>
          <t>Prensado tradicional</t>
        </is>
      </c>
      <c r="C8" s="26" t="n">
        <v>82.5</v>
      </c>
      <c r="D8" s="26" t="n">
        <v>43.56</v>
      </c>
      <c r="E8" s="27" t="n">
        <v>0.6830000000000001</v>
      </c>
      <c r="F8" s="27" t="n">
        <v>0.4</v>
      </c>
      <c r="G8" s="28">
        <f>G7*(1-PERDIDA)</f>
        <v/>
      </c>
      <c r="H8" s="7" t="inlineStr">
        <is>
          <t>Alternativa A</t>
        </is>
      </c>
    </row>
    <row r="9">
      <c r="A9" s="25" t="inlineStr">
        <is>
          <t>E4.2</t>
        </is>
      </c>
      <c r="B9" s="5" t="inlineStr">
        <is>
          <t>Tricanter (centrífugo)</t>
        </is>
      </c>
      <c r="C9" s="26" t="n">
        <v>82.5</v>
      </c>
      <c r="D9" s="26" t="n">
        <v>37.34</v>
      </c>
      <c r="E9" s="27" t="n">
        <v>0.6850000000000001</v>
      </c>
      <c r="F9" s="27" t="n">
        <v>0.3</v>
      </c>
      <c r="G9" s="28">
        <f>G7*(1-PERDIDA)</f>
        <v/>
      </c>
      <c r="H9" s="7" t="inlineStr">
        <is>
          <t>Alternativa B — la cadena de masa del Excel origen sigue esta ruta</t>
        </is>
      </c>
    </row>
    <row r="10">
      <c r="A10" s="25" t="inlineStr">
        <is>
          <t>E5.1</t>
        </is>
      </c>
      <c r="B10" s="5" t="inlineStr">
        <is>
          <t>Deshidratación bomba de calor</t>
        </is>
      </c>
      <c r="C10" s="26" t="n">
        <v>37.15</v>
      </c>
      <c r="D10" s="26" t="n">
        <v>28.9</v>
      </c>
      <c r="E10" s="27" t="n">
        <v>0.3</v>
      </c>
      <c r="F10" s="27" t="n">
        <v>0.1</v>
      </c>
      <c r="G10" s="28">
        <f>G8*(1-PERDIDA)</f>
        <v/>
      </c>
      <c r="H10" s="7" t="inlineStr">
        <is>
          <t>80 kW</t>
        </is>
      </c>
    </row>
    <row r="11">
      <c r="A11" s="25" t="inlineStr">
        <is>
          <t>E5.2</t>
        </is>
      </c>
      <c r="B11" s="5" t="inlineStr">
        <is>
          <t>Deshidratación calor residual</t>
        </is>
      </c>
      <c r="C11" s="26" t="n">
        <v>37.15</v>
      </c>
      <c r="D11" s="26" t="n">
        <v>28.9</v>
      </c>
      <c r="E11" s="27" t="n">
        <v>0.3</v>
      </c>
      <c r="F11" s="27" t="n">
        <v>0.1</v>
      </c>
      <c r="G11" s="28">
        <f>G8*(1-PERDIDA)</f>
        <v/>
      </c>
      <c r="H11" s="7" t="inlineStr">
        <is>
          <t>Calor residual La Gloria — 4,4x más barata</t>
        </is>
      </c>
    </row>
    <row r="12">
      <c r="A12" s="25" t="inlineStr">
        <is>
          <t>E6</t>
        </is>
      </c>
      <c r="B12" s="5" t="inlineStr">
        <is>
          <t>Enfriador eléctrico</t>
        </is>
      </c>
      <c r="C12" s="26" t="n">
        <v>28.75</v>
      </c>
      <c r="D12" s="26" t="n">
        <v>28.13</v>
      </c>
      <c r="E12" s="27" t="n">
        <v>0.1</v>
      </c>
      <c r="F12" s="27" t="n">
        <v>0.08</v>
      </c>
      <c r="G12" s="28">
        <f>G10*(1-PERDIDA)</f>
        <v/>
      </c>
      <c r="H12" s="7" t="inlineStr"/>
    </row>
    <row r="13">
      <c r="A13" s="25" t="inlineStr">
        <is>
          <t>E7</t>
        </is>
      </c>
      <c r="B13" s="5" t="inlineStr">
        <is>
          <t>Molienda</t>
        </is>
      </c>
      <c r="C13" s="26" t="n">
        <v>27.99</v>
      </c>
      <c r="D13" s="26" t="n">
        <v>27.99</v>
      </c>
      <c r="E13" s="27" t="n">
        <v>0.08</v>
      </c>
      <c r="F13" s="27" t="n">
        <v>0.08</v>
      </c>
      <c r="G13" s="28">
        <f>G12*(1-PERDIDA)</f>
        <v/>
      </c>
      <c r="H13" s="7" t="inlineStr"/>
    </row>
    <row r="14">
      <c r="A14" s="25" t="inlineStr">
        <is>
          <t>E8.1</t>
        </is>
      </c>
      <c r="B14" s="5" t="inlineStr">
        <is>
          <t>Homogenizado + SACO 25 kg</t>
        </is>
      </c>
      <c r="C14" s="26" t="n">
        <v>27.85</v>
      </c>
      <c r="D14" s="26" t="n">
        <v>27.845472</v>
      </c>
      <c r="E14" s="27" t="n">
        <v>0.08</v>
      </c>
      <c r="F14" s="27" t="n">
        <v>0.08</v>
      </c>
      <c r="G14" s="28">
        <f>G13*(1-PERDIDA)</f>
        <v/>
      </c>
      <c r="H14" s="7" t="inlineStr">
        <is>
          <t>~1.114 sacos/día</t>
        </is>
      </c>
    </row>
    <row r="15">
      <c r="A15" s="25" t="inlineStr">
        <is>
          <t>E8.2</t>
        </is>
      </c>
      <c r="B15" s="5" t="inlineStr">
        <is>
          <t>Homogenizado + MAXISACO 800 kg</t>
        </is>
      </c>
      <c r="C15" s="26" t="n">
        <v>27.71</v>
      </c>
      <c r="D15" s="26" t="n">
        <v>28.32</v>
      </c>
      <c r="E15" s="27" t="n">
        <v>0.08</v>
      </c>
      <c r="F15" s="27" t="n">
        <v>0.1</v>
      </c>
      <c r="G15" s="28">
        <f>G13*(1-PERDIDA)</f>
        <v/>
      </c>
      <c r="H15" s="7" t="inlineStr">
        <is>
          <t>~35 maxisacos/día</t>
        </is>
      </c>
    </row>
    <row r="16">
      <c r="A16" s="25" t="inlineStr">
        <is>
          <t>E9</t>
        </is>
      </c>
      <c r="B16" s="5" t="inlineStr">
        <is>
          <t>Etiquetado y almacenamiento</t>
        </is>
      </c>
      <c r="C16" s="26" t="n">
        <v>28.32</v>
      </c>
      <c r="D16" s="26" t="n">
        <v>28.32</v>
      </c>
      <c r="E16" s="27" t="n">
        <v>0.08</v>
      </c>
      <c r="F16" s="27" t="n">
        <v>0.08</v>
      </c>
      <c r="G16" s="28">
        <f>G14*(1-PERDIDA)</f>
        <v/>
      </c>
      <c r="H16" s="7" t="inlineStr">
        <is>
          <t>MP seca final del modelo</t>
        </is>
      </c>
    </row>
    <row r="18">
      <c r="F18" s="29" t="inlineStr">
        <is>
          <t>MP seca final:</t>
        </is>
      </c>
      <c r="G18" s="30">
        <f>G16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2" customWidth="1" min="3" max="3"/>
    <col width="10" customWidth="1" min="4" max="4"/>
    <col width="12" customWidth="1" min="5" max="5"/>
    <col width="11" customWidth="1" min="6" max="6"/>
    <col width="10" customWidth="1" min="7" max="7"/>
    <col width="11" customWidth="1" min="8" max="8"/>
    <col width="10" customWidth="1" min="9" max="9"/>
    <col width="16" customWidth="1" min="10" max="10"/>
    <col width="12" customWidth="1" min="11" max="11"/>
    <col width="14" customWidth="1" min="12" max="12"/>
    <col width="14" customWidth="1" min="13" max="13"/>
    <col width="9" customWidth="1" min="14" max="14"/>
    <col width="14" customWidth="1" min="15" max="15"/>
  </cols>
  <sheetData>
    <row r="1">
      <c r="A1" s="1" t="inlineStr">
        <is>
          <t>Costos por etapa (CLP/día)</t>
        </is>
      </c>
    </row>
    <row r="2">
      <c r="A2" s="2" t="inlineStr">
        <is>
          <t>Fórmulas vivas desde PARAMETROS. Columna 'Excel origen' = total del archivo del equipo; Δ debe ser ~0.</t>
        </is>
      </c>
    </row>
    <row r="4">
      <c r="A4" s="24" t="inlineStr">
        <is>
          <t>Etapa</t>
        </is>
      </c>
      <c r="B4" s="24" t="inlineStr">
        <is>
          <t>Proceso</t>
        </is>
      </c>
      <c r="C4" s="24" t="inlineStr">
        <is>
          <t>RRHH</t>
        </is>
      </c>
      <c r="D4" s="24" t="inlineStr">
        <is>
          <t>kW equipos</t>
        </is>
      </c>
      <c r="E4" s="24" t="inlineStr">
        <is>
          <t>Energía</t>
        </is>
      </c>
      <c r="F4" s="24" t="inlineStr">
        <is>
          <t>Agua</t>
        </is>
      </c>
      <c r="G4" s="24" t="inlineStr">
        <is>
          <t>Desinfect.</t>
        </is>
      </c>
      <c r="H4" s="24" t="inlineStr">
        <is>
          <t>Limpieza (1h)</t>
        </is>
      </c>
      <c r="I4" s="24" t="inlineStr">
        <is>
          <t>Muestras</t>
        </is>
      </c>
      <c r="J4" s="24" t="inlineStr">
        <is>
          <t>Insumos / packaging</t>
        </is>
      </c>
      <c r="K4" s="24" t="inlineStr">
        <is>
          <t>Ajuste concil.</t>
        </is>
      </c>
      <c r="L4" s="24" t="inlineStr">
        <is>
          <t>TOTAL CLP/día</t>
        </is>
      </c>
      <c r="M4" s="24" t="inlineStr">
        <is>
          <t>Excel origen</t>
        </is>
      </c>
      <c r="N4" s="24" t="inlineStr">
        <is>
          <t>Δ</t>
        </is>
      </c>
      <c r="O4" s="24" t="inlineStr">
        <is>
          <t>CLP/ton MP seca</t>
        </is>
      </c>
    </row>
    <row r="5">
      <c r="A5" s="25" t="inlineStr">
        <is>
          <t>E1</t>
        </is>
      </c>
      <c r="B5" s="5" t="inlineStr">
        <is>
          <t>Recepción MP</t>
        </is>
      </c>
      <c r="C5" s="6">
        <f>(H_LAB*1+H_RECEP*1)*CAMIONES</f>
        <v/>
      </c>
      <c r="D5" s="31" t="n">
        <v>0</v>
      </c>
      <c r="E5" s="32">
        <f>D5*HORAS_DIA*TARIFA_KWH</f>
        <v/>
      </c>
      <c r="F5" s="6">
        <f>AGUA_LIMP_M3*AGUA_TOTAL</f>
        <v/>
      </c>
      <c r="G5" s="33">
        <f>DESINF</f>
        <v/>
      </c>
      <c r="H5" s="6">
        <f>H_OP*1</f>
        <v/>
      </c>
      <c r="I5" s="32">
        <f>3*MUESTRA</f>
        <v/>
      </c>
      <c r="J5" s="32" t="n">
        <v>0</v>
      </c>
      <c r="K5" s="34" t="n">
        <v>0</v>
      </c>
      <c r="L5" s="35">
        <f>SUM(C5,E5:K5)</f>
        <v/>
      </c>
      <c r="M5" s="36" t="n">
        <v>60177.33</v>
      </c>
      <c r="N5" s="37">
        <f>L5-M5</f>
        <v/>
      </c>
      <c r="O5" s="32">
        <f>L5/'FLUJO MASA'!G5</f>
        <v/>
      </c>
    </row>
    <row r="6">
      <c r="A6" s="25" t="inlineStr">
        <is>
          <t>E2</t>
        </is>
      </c>
      <c r="B6" s="5" t="inlineStr">
        <is>
          <t>Estandarización</t>
        </is>
      </c>
      <c r="C6" s="6">
        <f>H_OP*1+H_LAB*0.25</f>
        <v/>
      </c>
      <c r="D6" s="31" t="n">
        <v>13.2</v>
      </c>
      <c r="E6" s="32">
        <f>D6*HORAS_DIA*TARIFA_KWH</f>
        <v/>
      </c>
      <c r="F6" s="6">
        <f>AGUA_LIMP_M3*AGUA_TOTAL+TON_MMPP*AGUA_EST*AGUA_M3</f>
        <v/>
      </c>
      <c r="G6" s="33">
        <f>DESINF</f>
        <v/>
      </c>
      <c r="H6" s="6">
        <f>H_OP*1</f>
        <v/>
      </c>
      <c r="I6" s="32">
        <f>1*MUESTRA</f>
        <v/>
      </c>
      <c r="J6" s="32" t="n">
        <v>0</v>
      </c>
      <c r="K6" s="34" t="n">
        <v>6885.17</v>
      </c>
      <c r="L6" s="35">
        <f>SUM(C6,E6:K6)</f>
        <v/>
      </c>
      <c r="M6" s="36" t="n">
        <v>96005.25</v>
      </c>
      <c r="N6" s="37">
        <f>L6-M6</f>
        <v/>
      </c>
      <c r="O6" s="32">
        <f>L6/'FLUJO MASA'!G6</f>
        <v/>
      </c>
    </row>
    <row r="7">
      <c r="A7" s="25" t="inlineStr">
        <is>
          <t>E3</t>
        </is>
      </c>
      <c r="B7" s="5" t="inlineStr">
        <is>
          <t>PEF (electroporación)</t>
        </is>
      </c>
      <c r="C7" s="6">
        <f>(H_OP*1+H_SUP*1)*CAMIONES</f>
        <v/>
      </c>
      <c r="D7" s="31" t="n">
        <v>14</v>
      </c>
      <c r="E7" s="32">
        <f>D7*HORAS_DIA*TARIFA_KWH</f>
        <v/>
      </c>
      <c r="F7" s="6">
        <f>AGUA_LIMP_M3*AGUA_TOTAL</f>
        <v/>
      </c>
      <c r="G7" s="33">
        <f>DESINF</f>
        <v/>
      </c>
      <c r="H7" s="6">
        <f>H_OP*1</f>
        <v/>
      </c>
      <c r="I7" s="32" t="n">
        <v>0</v>
      </c>
      <c r="J7" s="32">
        <f>(ELEC_TON+CAM_TON)*TON_PROCESO</f>
        <v/>
      </c>
      <c r="K7" s="34" t="n">
        <v>0</v>
      </c>
      <c r="L7" s="35">
        <f>SUM(C7,E7:K7)</f>
        <v/>
      </c>
      <c r="M7" s="36" t="n">
        <v>277158.92</v>
      </c>
      <c r="N7" s="37">
        <f>L7-M7</f>
        <v/>
      </c>
      <c r="O7" s="32">
        <f>L7/'FLUJO MASA'!G7</f>
        <v/>
      </c>
    </row>
    <row r="8">
      <c r="A8" s="25" t="inlineStr">
        <is>
          <t>E4.1</t>
        </is>
      </c>
      <c r="B8" s="5" t="inlineStr">
        <is>
          <t>Prensado tradicional</t>
        </is>
      </c>
      <c r="C8" s="6">
        <f>H_OP*6</f>
        <v/>
      </c>
      <c r="D8" s="31" t="n">
        <v>24</v>
      </c>
      <c r="E8" s="32">
        <f>D8*HORAS_DIA*TARIFA_KWH</f>
        <v/>
      </c>
      <c r="F8" s="6">
        <f>AGUA_LIMP_M3*AGUA_TOTAL</f>
        <v/>
      </c>
      <c r="G8" s="33">
        <f>DESINF</f>
        <v/>
      </c>
      <c r="H8" s="6">
        <f>H_OP*1</f>
        <v/>
      </c>
      <c r="I8" s="32" t="n">
        <v>0</v>
      </c>
      <c r="J8" s="32" t="n">
        <v>0</v>
      </c>
      <c r="K8" s="34" t="n">
        <v>0</v>
      </c>
      <c r="L8" s="35">
        <f>SUM(C8,E8:K8)</f>
        <v/>
      </c>
      <c r="M8" s="36" t="n">
        <v>149982.33</v>
      </c>
      <c r="N8" s="37">
        <f>L8-M8</f>
        <v/>
      </c>
      <c r="O8" s="32">
        <f>L8/'FLUJO MASA'!G8</f>
        <v/>
      </c>
    </row>
    <row r="9">
      <c r="A9" s="25" t="inlineStr">
        <is>
          <t>E4.2</t>
        </is>
      </c>
      <c r="B9" s="5" t="inlineStr">
        <is>
          <t>Tricanter (centrífugo)</t>
        </is>
      </c>
      <c r="C9" s="6">
        <f>H_OP*6</f>
        <v/>
      </c>
      <c r="D9" s="31" t="n">
        <v>21.6</v>
      </c>
      <c r="E9" s="32">
        <f>D9*HORAS_DIA*TARIFA_KWH</f>
        <v/>
      </c>
      <c r="F9" s="6">
        <f>AGUA_LIMP_M3*AGUA_TOTAL</f>
        <v/>
      </c>
      <c r="G9" s="33">
        <f>DESINF</f>
        <v/>
      </c>
      <c r="H9" s="6">
        <f>H_OP*1</f>
        <v/>
      </c>
      <c r="I9" s="32" t="n">
        <v>0</v>
      </c>
      <c r="J9" s="32" t="n">
        <v>0</v>
      </c>
      <c r="K9" s="34" t="n">
        <v>0</v>
      </c>
      <c r="L9" s="35">
        <f>SUM(C9,E9:K9)</f>
        <v/>
      </c>
      <c r="M9" s="36" t="n">
        <v>139614.33</v>
      </c>
      <c r="N9" s="37">
        <f>L9-M9</f>
        <v/>
      </c>
      <c r="O9" s="32">
        <f>L9/'FLUJO MASA'!G9</f>
        <v/>
      </c>
    </row>
    <row r="10">
      <c r="A10" s="25" t="inlineStr">
        <is>
          <t>E5.1</t>
        </is>
      </c>
      <c r="B10" s="5" t="inlineStr">
        <is>
          <t>Deshidratación bomba de calor</t>
        </is>
      </c>
      <c r="C10" s="6">
        <f>H_OP*6</f>
        <v/>
      </c>
      <c r="D10" s="31" t="n">
        <v>80</v>
      </c>
      <c r="E10" s="32">
        <f>D10*HORAS_DIA*TARIFA_KWH</f>
        <v/>
      </c>
      <c r="F10" s="6">
        <f>AGUA_LIMP_M3*AGUA_TOTAL</f>
        <v/>
      </c>
      <c r="G10" s="33">
        <f>DESINF</f>
        <v/>
      </c>
      <c r="H10" s="6">
        <f>H_OP*1</f>
        <v/>
      </c>
      <c r="I10" s="32" t="n">
        <v>0</v>
      </c>
      <c r="J10" s="32" t="n">
        <v>0</v>
      </c>
      <c r="K10" s="34" t="n">
        <v>0</v>
      </c>
      <c r="L10" s="35">
        <f>SUM(C10,E10:K10)</f>
        <v/>
      </c>
      <c r="M10" s="36" t="n">
        <v>391902.33</v>
      </c>
      <c r="N10" s="37">
        <f>L10-M10</f>
        <v/>
      </c>
      <c r="O10" s="32">
        <f>L10/'FLUJO MASA'!G10</f>
        <v/>
      </c>
    </row>
    <row r="11">
      <c r="A11" s="25" t="inlineStr">
        <is>
          <t>E5.2</t>
        </is>
      </c>
      <c r="B11" s="5" t="inlineStr">
        <is>
          <t>Deshidratación calor residual</t>
        </is>
      </c>
      <c r="C11" s="6">
        <f>H_OP*6</f>
        <v/>
      </c>
      <c r="D11" s="31" t="n">
        <v>10</v>
      </c>
      <c r="E11" s="32">
        <f>D11*HORAS_DIA*TARIFA_KWH</f>
        <v/>
      </c>
      <c r="F11" s="6">
        <f>AGUA_LIMP_M3*AGUA_TOTAL</f>
        <v/>
      </c>
      <c r="G11" s="33">
        <f>DESINF</f>
        <v/>
      </c>
      <c r="H11" s="6">
        <f>H_OP*1</f>
        <v/>
      </c>
      <c r="I11" s="32" t="n">
        <v>0</v>
      </c>
      <c r="J11" s="32" t="n">
        <v>0</v>
      </c>
      <c r="K11" s="34" t="n">
        <v>0</v>
      </c>
      <c r="L11" s="35">
        <f>SUM(C11,E11:K11)</f>
        <v/>
      </c>
      <c r="M11" s="36" t="n">
        <v>89502.33</v>
      </c>
      <c r="N11" s="37">
        <f>L11-M11</f>
        <v/>
      </c>
      <c r="O11" s="32">
        <f>L11/'FLUJO MASA'!G11</f>
        <v/>
      </c>
    </row>
    <row r="12">
      <c r="A12" s="25" t="inlineStr">
        <is>
          <t>E6</t>
        </is>
      </c>
      <c r="B12" s="5" t="inlineStr">
        <is>
          <t>Enfriador eléctrico</t>
        </is>
      </c>
      <c r="C12" s="6">
        <f>H_OP*6</f>
        <v/>
      </c>
      <c r="D12" s="31" t="n">
        <v>10</v>
      </c>
      <c r="E12" s="32">
        <f>D12*HORAS_DIA*TARIFA_KWH</f>
        <v/>
      </c>
      <c r="F12" s="6">
        <f>AGUA_LIMP_M3*AGUA_TOTAL</f>
        <v/>
      </c>
      <c r="G12" s="33">
        <f>DESINF</f>
        <v/>
      </c>
      <c r="H12" s="6">
        <f>H_OP*1</f>
        <v/>
      </c>
      <c r="I12" s="32" t="n">
        <v>0</v>
      </c>
      <c r="J12" s="32" t="n">
        <v>0</v>
      </c>
      <c r="K12" s="34" t="n">
        <v>0</v>
      </c>
      <c r="L12" s="35">
        <f>SUM(C12,E12:K12)</f>
        <v/>
      </c>
      <c r="M12" s="36" t="n">
        <v>89502.33</v>
      </c>
      <c r="N12" s="37">
        <f>L12-M12</f>
        <v/>
      </c>
      <c r="O12" s="32">
        <f>L12/'FLUJO MASA'!G12</f>
        <v/>
      </c>
    </row>
    <row r="13">
      <c r="A13" s="25" t="inlineStr">
        <is>
          <t>E7</t>
        </is>
      </c>
      <c r="B13" s="5" t="inlineStr">
        <is>
          <t>Molienda</t>
        </is>
      </c>
      <c r="C13" s="6">
        <f>H_OP*6</f>
        <v/>
      </c>
      <c r="D13" s="31" t="n">
        <v>61.6</v>
      </c>
      <c r="E13" s="32">
        <f>D13*HORAS_DIA*TARIFA_KWH</f>
        <v/>
      </c>
      <c r="F13" s="6">
        <f>AGUA_LIMP_M3*AGUA_TOTAL</f>
        <v/>
      </c>
      <c r="G13" s="33">
        <f>DESINF</f>
        <v/>
      </c>
      <c r="H13" s="6">
        <f>H_OP*1</f>
        <v/>
      </c>
      <c r="I13" s="32" t="n">
        <v>0</v>
      </c>
      <c r="J13" s="32" t="n">
        <v>0</v>
      </c>
      <c r="K13" s="34" t="n">
        <v>0</v>
      </c>
      <c r="L13" s="35">
        <f>SUM(C13,E13:K13)</f>
        <v/>
      </c>
      <c r="M13" s="36" t="n">
        <v>312414.33</v>
      </c>
      <c r="N13" s="37">
        <f>L13-M13</f>
        <v/>
      </c>
      <c r="O13" s="32">
        <f>L13/'FLUJO MASA'!G13</f>
        <v/>
      </c>
    </row>
    <row r="14">
      <c r="A14" s="25" t="inlineStr">
        <is>
          <t>E8.1</t>
        </is>
      </c>
      <c r="B14" s="5" t="inlineStr">
        <is>
          <t>Homogenizado + SACO 25 kg</t>
        </is>
      </c>
      <c r="C14" s="6">
        <f>H_OP*6</f>
        <v/>
      </c>
      <c r="D14" s="31" t="n">
        <v>4.48</v>
      </c>
      <c r="E14" s="32">
        <f>D14*HORAS_DIA*TARIFA_KWH</f>
        <v/>
      </c>
      <c r="F14" s="6">
        <f>AGUA_LIMP_M3*AGUA_TOTAL</f>
        <v/>
      </c>
      <c r="G14" s="33">
        <f>DESINF</f>
        <v/>
      </c>
      <c r="H14" s="6">
        <f>H_OP*1</f>
        <v/>
      </c>
      <c r="I14" s="32">
        <f>1*MUESTRA</f>
        <v/>
      </c>
      <c r="J14" s="32">
        <f>'FLUJO MASA'!D14*1000/SACO_KG*SACO_CLP</f>
        <v/>
      </c>
      <c r="K14" s="34" t="n">
        <v>0</v>
      </c>
      <c r="L14" s="35">
        <f>SUM(C14,E14:K14)</f>
        <v/>
      </c>
      <c r="M14" s="36" t="n">
        <v>3408612.57</v>
      </c>
      <c r="N14" s="37">
        <f>L14-M14</f>
        <v/>
      </c>
      <c r="O14" s="32">
        <f>L14/'FLUJO MASA'!G14</f>
        <v/>
      </c>
    </row>
    <row r="15">
      <c r="A15" s="25" t="inlineStr">
        <is>
          <t>E8.2</t>
        </is>
      </c>
      <c r="B15" s="5" t="inlineStr">
        <is>
          <t>Homogenizado + MAXISACO 800 kg</t>
        </is>
      </c>
      <c r="C15" s="6">
        <f>H_OP*2</f>
        <v/>
      </c>
      <c r="D15" s="31" t="n">
        <v>4.48</v>
      </c>
      <c r="E15" s="32">
        <f>D15*HORAS_DIA*TARIFA_KWH</f>
        <v/>
      </c>
      <c r="F15" s="6">
        <f>AGUA_LIMP_M3*AGUA_TOTAL</f>
        <v/>
      </c>
      <c r="G15" s="33">
        <f>DESINF</f>
        <v/>
      </c>
      <c r="H15" s="6">
        <f>H_OP*1</f>
        <v/>
      </c>
      <c r="I15" s="32">
        <f>1*MUESTRA</f>
        <v/>
      </c>
      <c r="J15" s="32">
        <f>379540.85*(MAXI_CLP/10000)</f>
        <v/>
      </c>
      <c r="K15" s="34" t="n">
        <v>25000</v>
      </c>
      <c r="L15" s="35">
        <f>SUM(C15,E15:K15)</f>
        <v/>
      </c>
      <c r="M15" s="36" t="n">
        <v>446696.78</v>
      </c>
      <c r="N15" s="37">
        <f>L15-M15</f>
        <v/>
      </c>
      <c r="O15" s="32">
        <f>L15/'FLUJO MASA'!G15</f>
        <v/>
      </c>
    </row>
    <row r="16">
      <c r="A16" s="25" t="inlineStr">
        <is>
          <t>E9</t>
        </is>
      </c>
      <c r="B16" s="5" t="inlineStr">
        <is>
          <t>Etiquetado y almacenamiento</t>
        </is>
      </c>
      <c r="C16" s="6">
        <f>H_OP*5+H_LAB*0.25</f>
        <v/>
      </c>
      <c r="D16" s="31" t="n">
        <v>5</v>
      </c>
      <c r="E16" s="32">
        <f>D16*HORAS_DIA*TARIFA_KWH</f>
        <v/>
      </c>
      <c r="F16" s="32" t="n">
        <v>0</v>
      </c>
      <c r="G16" s="37" t="n">
        <v>0</v>
      </c>
      <c r="H16" s="6">
        <f>H_OP*1</f>
        <v/>
      </c>
      <c r="I16" s="32">
        <f>2*MUESTRA</f>
        <v/>
      </c>
      <c r="J16" s="32" t="n">
        <v>0</v>
      </c>
      <c r="K16" s="34" t="n">
        <v>85861.73</v>
      </c>
      <c r="L16" s="35">
        <f>SUM(C16,E16:K16)</f>
        <v/>
      </c>
      <c r="M16" s="36" t="n">
        <v>152857.81</v>
      </c>
      <c r="N16" s="37">
        <f>L16-M16</f>
        <v/>
      </c>
      <c r="O16" s="32">
        <f>L16/'FLUJO MASA'!G16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20" customWidth="1" min="3" max="3"/>
    <col width="14" customWidth="1" min="4" max="4"/>
    <col width="14" customWidth="1" min="5" max="5"/>
    <col width="15" customWidth="1" min="6" max="6"/>
    <col width="13" customWidth="1" min="7" max="7"/>
    <col width="15" customWidth="1" min="8" max="8"/>
  </cols>
  <sheetData>
    <row r="1">
      <c r="A1" s="1" t="inlineStr">
        <is>
          <t>Comparativo de rutas</t>
        </is>
      </c>
    </row>
    <row r="2">
      <c r="A2" s="2" t="inlineStr">
        <is>
          <t>Cada ruta = E1+E2+E3 + prensado + secado + E6+E7 + packaging + E9. El Excel origen usa E4.1 + E5.1 (rutas 'base').</t>
        </is>
      </c>
    </row>
    <row r="4">
      <c r="A4" s="24" t="inlineStr">
        <is>
          <t>Ruta</t>
        </is>
      </c>
      <c r="B4" s="24" t="inlineStr">
        <is>
          <t>Prensado</t>
        </is>
      </c>
      <c r="C4" s="24" t="inlineStr">
        <is>
          <t>Secado</t>
        </is>
      </c>
      <c r="D4" s="24" t="inlineStr">
        <is>
          <t>Packaging</t>
        </is>
      </c>
      <c r="E4" s="24" t="inlineStr">
        <is>
          <t>CLP/día</t>
        </is>
      </c>
      <c r="F4" s="24" t="inlineStr">
        <is>
          <t>CLP/ton MP seca</t>
        </is>
      </c>
      <c r="G4" s="24" t="inlineStr">
        <is>
          <t>CLP/kg MP seca</t>
        </is>
      </c>
      <c r="H4" s="24" t="inlineStr">
        <is>
          <t>CLP/mes</t>
        </is>
      </c>
    </row>
    <row r="5">
      <c r="A5" s="25" t="inlineStr">
        <is>
          <t>SACO base (= Excel origen)</t>
        </is>
      </c>
      <c r="B5" s="5" t="inlineStr">
        <is>
          <t>Prensa</t>
        </is>
      </c>
      <c r="C5" s="5" t="inlineStr">
        <is>
          <t>Bomba calor</t>
        </is>
      </c>
      <c r="D5" s="5" t="inlineStr">
        <is>
          <t>Saco 25 kg</t>
        </is>
      </c>
      <c r="E5" s="6">
        <f>'COSTOS ETAPAS'!L5+'COSTOS ETAPAS'!L6+'COSTOS ETAPAS'!L7+'COSTOS ETAPAS'!L12+'COSTOS ETAPAS'!L13+'COSTOS ETAPAS'!L16+'COSTOS ETAPAS'!L8+'COSTOS ETAPAS'!L10+'COSTOS ETAPAS'!L14</f>
        <v/>
      </c>
      <c r="F5" s="32">
        <f>E5/MP_SECA_FIN</f>
        <v/>
      </c>
      <c r="G5" s="37">
        <f>F5/1000</f>
        <v/>
      </c>
      <c r="H5" s="32">
        <f>E5*DIAS_MES</f>
        <v/>
      </c>
    </row>
    <row r="6">
      <c r="A6" s="25" t="inlineStr">
        <is>
          <t>MAXISACO base (= Excel origen)</t>
        </is>
      </c>
      <c r="B6" s="5" t="inlineStr">
        <is>
          <t>Prensa</t>
        </is>
      </c>
      <c r="C6" s="5" t="inlineStr">
        <is>
          <t>Bomba calor</t>
        </is>
      </c>
      <c r="D6" s="5" t="inlineStr">
        <is>
          <t>Maxisaco 800 kg</t>
        </is>
      </c>
      <c r="E6" s="6">
        <f>'COSTOS ETAPAS'!L5+'COSTOS ETAPAS'!L6+'COSTOS ETAPAS'!L7+'COSTOS ETAPAS'!L12+'COSTOS ETAPAS'!L13+'COSTOS ETAPAS'!L16+'COSTOS ETAPAS'!L8+'COSTOS ETAPAS'!L10+'COSTOS ETAPAS'!L15</f>
        <v/>
      </c>
      <c r="F6" s="32">
        <f>E6/MP_SECA_FIN</f>
        <v/>
      </c>
      <c r="G6" s="37">
        <f>F6/1000</f>
        <v/>
      </c>
      <c r="H6" s="32">
        <f>E6*DIAS_MES</f>
        <v/>
      </c>
    </row>
    <row r="7">
      <c r="A7" s="5" t="inlineStr">
        <is>
          <t>SACO + calor residual</t>
        </is>
      </c>
      <c r="B7" s="5" t="inlineStr">
        <is>
          <t>Prensa</t>
        </is>
      </c>
      <c r="C7" s="5" t="inlineStr">
        <is>
          <t>Calor residual</t>
        </is>
      </c>
      <c r="D7" s="5" t="inlineStr">
        <is>
          <t>Saco 25 kg</t>
        </is>
      </c>
      <c r="E7" s="6">
        <f>'COSTOS ETAPAS'!L5+'COSTOS ETAPAS'!L6+'COSTOS ETAPAS'!L7+'COSTOS ETAPAS'!L12+'COSTOS ETAPAS'!L13+'COSTOS ETAPAS'!L16+'COSTOS ETAPAS'!L8+'COSTOS ETAPAS'!L11+'COSTOS ETAPAS'!L14</f>
        <v/>
      </c>
      <c r="F7" s="32">
        <f>E7/MP_SECA_FIN</f>
        <v/>
      </c>
      <c r="G7" s="37">
        <f>F7/1000</f>
        <v/>
      </c>
      <c r="H7" s="32">
        <f>E7*DIAS_MES</f>
        <v/>
      </c>
    </row>
    <row r="8">
      <c r="A8" s="5" t="inlineStr">
        <is>
          <t>MAXISACO + calor residual</t>
        </is>
      </c>
      <c r="B8" s="5" t="inlineStr">
        <is>
          <t>Prensa</t>
        </is>
      </c>
      <c r="C8" s="5" t="inlineStr">
        <is>
          <t>Calor residual</t>
        </is>
      </c>
      <c r="D8" s="5" t="inlineStr">
        <is>
          <t>Maxisaco 800 kg</t>
        </is>
      </c>
      <c r="E8" s="6">
        <f>'COSTOS ETAPAS'!L5+'COSTOS ETAPAS'!L6+'COSTOS ETAPAS'!L7+'COSTOS ETAPAS'!L12+'COSTOS ETAPAS'!L13+'COSTOS ETAPAS'!L16+'COSTOS ETAPAS'!L8+'COSTOS ETAPAS'!L11+'COSTOS ETAPAS'!L15</f>
        <v/>
      </c>
      <c r="F8" s="32">
        <f>E8/MP_SECA_FIN</f>
        <v/>
      </c>
      <c r="G8" s="37">
        <f>F8/1000</f>
        <v/>
      </c>
      <c r="H8" s="32">
        <f>E8*DIAS_MES</f>
        <v/>
      </c>
    </row>
    <row r="9">
      <c r="A9" s="5" t="inlineStr">
        <is>
          <t>MAXISACO + tricanter + residual (más barata)</t>
        </is>
      </c>
      <c r="B9" s="5" t="inlineStr">
        <is>
          <t>Tricanter</t>
        </is>
      </c>
      <c r="C9" s="5" t="inlineStr">
        <is>
          <t>Calor residual</t>
        </is>
      </c>
      <c r="D9" s="5" t="inlineStr">
        <is>
          <t>Maxisaco 800 kg</t>
        </is>
      </c>
      <c r="E9" s="6">
        <f>'COSTOS ETAPAS'!L5+'COSTOS ETAPAS'!L6+'COSTOS ETAPAS'!L7+'COSTOS ETAPAS'!L12+'COSTOS ETAPAS'!L13+'COSTOS ETAPAS'!L16+'COSTOS ETAPAS'!L9+'COSTOS ETAPAS'!L11+'COSTOS ETAPAS'!L15</f>
        <v/>
      </c>
      <c r="F9" s="32">
        <f>E9/MP_SECA_FIN</f>
        <v/>
      </c>
      <c r="G9" s="37">
        <f>F9/1000</f>
        <v/>
      </c>
      <c r="H9" s="32">
        <f>E9*DIAS_MES</f>
        <v/>
      </c>
    </row>
    <row r="11">
      <c r="A11" s="3" t="inlineStr">
        <is>
          <t>DECISIÓN PACKAGING</t>
        </is>
      </c>
      <c r="B11" s="4" t="n"/>
      <c r="C11" s="4" t="n"/>
      <c r="D11" s="4" t="n"/>
      <c r="E11" s="4" t="n"/>
      <c r="F11" s="4" t="n"/>
      <c r="G11" s="4" t="n"/>
      <c r="H11" s="4" t="n"/>
    </row>
    <row r="12">
      <c r="A12" s="10" t="inlineStr">
        <is>
          <t>Ahorro maxisaco vs saco (CLP/día)</t>
        </is>
      </c>
      <c r="E12" s="13">
        <f>E5-E6</f>
        <v/>
      </c>
    </row>
    <row r="13">
      <c r="A13" s="10" t="inlineStr">
        <is>
          <t>Ahorro maxisaco vs saco (CLP/mes)</t>
        </is>
      </c>
      <c r="E13" s="13">
        <f>(E5-E6)*DIAS_MES</f>
        <v/>
      </c>
    </row>
    <row r="14">
      <c r="A14" s="10" t="inlineStr">
        <is>
          <t>Factor de costo saco / maxisaco</t>
        </is>
      </c>
      <c r="E14" s="38">
        <f>E5/E6</f>
        <v/>
      </c>
    </row>
    <row r="15">
      <c r="A15" s="10" t="inlineStr">
        <is>
          <t>Ahorro calor residual vs bomba calor (CLP/día)</t>
        </is>
      </c>
      <c r="E15" s="13">
        <f>E5-E7</f>
        <v/>
      </c>
    </row>
    <row r="17">
      <c r="A17" s="2" t="inlineStr">
        <is>
          <t>⚠ El packaging en saco 25 kg es el 69% del costo de la ruta base: decisión comercial n.°1 del piloto.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56" customWidth="1" min="3" max="3"/>
    <col width="34" customWidth="1" min="4" max="4"/>
    <col width="18" customWidth="1" min="5" max="5"/>
    <col width="12" customWidth="1" min="6" max="6"/>
  </cols>
  <sheetData>
    <row r="1">
      <c r="A1" s="1" t="inlineStr">
        <is>
          <t>Pendientes por validar con el equipo</t>
        </is>
      </c>
    </row>
    <row r="2">
      <c r="A2" s="2" t="inlineStr">
        <is>
          <t>Cada ítem cambia el resultado del modelo. Actualizar PARAMETROS cuando se confirme.</t>
        </is>
      </c>
    </row>
    <row r="4">
      <c r="A4" s="24" t="inlineStr">
        <is>
          <t>#</t>
        </is>
      </c>
      <c r="B4" s="24" t="inlineStr">
        <is>
          <t>Tema</t>
        </is>
      </c>
      <c r="C4" s="24" t="inlineStr">
        <is>
          <t>Detalle</t>
        </is>
      </c>
      <c r="D4" s="24" t="inlineStr">
        <is>
          <t>Impacto si cambia</t>
        </is>
      </c>
      <c r="E4" s="24" t="inlineStr">
        <is>
          <t>Dueño sugerido</t>
        </is>
      </c>
      <c r="F4" s="24" t="inlineStr">
        <is>
          <t>Estado</t>
        </is>
      </c>
    </row>
    <row r="5">
      <c r="A5" s="39" t="n">
        <v>1</v>
      </c>
      <c r="B5" s="40" t="inlineStr">
        <is>
          <t>Alcantarillado 950 CLP/m³</t>
        </is>
      </c>
      <c r="C5" s="39" t="inlineStr">
        <is>
          <t>¿Se paga alcantarillado/tratamiento sobre el agua?</t>
        </is>
      </c>
      <c r="D5" s="39" t="inlineStr">
        <is>
          <t>Agua limpieza por etapa: 1.750 → 800 CLP/día</t>
        </is>
      </c>
      <c r="E5" s="39" t="inlineStr">
        <is>
          <t>Operaciones</t>
        </is>
      </c>
      <c r="F5" s="41" t="inlineStr">
        <is>
          <t>Abierto</t>
        </is>
      </c>
    </row>
    <row r="6">
      <c r="A6" s="39" t="n">
        <v>2</v>
      </c>
      <c r="B6" s="40" t="inlineStr">
        <is>
          <t>Duración electrodos PEF</t>
        </is>
      </c>
      <c r="C6" s="39" t="inlineStr">
        <is>
          <t>Excel dice 300 h; el sistema de la máquina indica 200 h</t>
        </is>
      </c>
      <c r="D6" s="39" t="inlineStr">
        <is>
          <t>Repuestos: 702 → 1.053 CLP/ton (+50%)</t>
        </is>
      </c>
      <c r="E6" s="39" t="inlineStr">
        <is>
          <t>Jefe planta</t>
        </is>
      </c>
      <c r="F6" s="41" t="inlineStr">
        <is>
          <t>Abierto</t>
        </is>
      </c>
    </row>
    <row r="7">
      <c r="A7" s="39" t="n">
        <v>3</v>
      </c>
      <c r="B7" s="40" t="inlineStr">
        <is>
          <t>Desinfectantes 802,33 CLP</t>
        </is>
      </c>
      <c r="C7" s="39" t="inlineStr">
        <is>
          <t>Valor idéntico al precio EUR de electrodos (posible error de copia)</t>
        </is>
      </c>
      <c r="D7" s="39" t="inlineStr">
        <is>
          <t>Menor (≈800 CLP/día/etapa)</t>
        </is>
      </c>
      <c r="E7" s="39" t="inlineStr">
        <is>
          <t>Operaciones</t>
        </is>
      </c>
      <c r="F7" s="41" t="inlineStr">
        <is>
          <t>Abierto</t>
        </is>
      </c>
    </row>
    <row r="8">
      <c r="A8" s="39" t="n">
        <v>4</v>
      </c>
      <c r="B8" s="40" t="inlineStr">
        <is>
          <t>Ruta cruzada del Excel origen</t>
        </is>
      </c>
      <c r="C8" s="39" t="inlineStr">
        <is>
          <t>El costo total usa prensa (E4.1) pero la cadena de masa sigue al tricanter (E4.2)</t>
        </is>
      </c>
      <c r="D8" s="39" t="inlineStr">
        <is>
          <t>Definir ruta operativa real; este modelo separa las 4 rutas</t>
        </is>
      </c>
      <c r="E8" s="39" t="inlineStr">
        <is>
          <t>Jefe planta</t>
        </is>
      </c>
      <c r="F8" s="39" t="inlineStr">
        <is>
          <t>Corregido aquí</t>
        </is>
      </c>
    </row>
    <row r="9">
      <c r="A9" s="39" t="n">
        <v>5</v>
      </c>
      <c r="B9" s="40" t="inlineStr">
        <is>
          <t>E8.2 maxisaco multiplicador</t>
        </is>
      </c>
      <c r="C9" s="39" t="inlineStr">
        <is>
          <t>La fuente mezcla multiplicadores (≈51.000 CLP/día de diferencia)</t>
        </is>
      </c>
      <c r="D9" s="39" t="inlineStr">
        <is>
          <t>Maxisaco seguiría siendo 2,4x más barato</t>
        </is>
      </c>
      <c r="E9" s="39" t="inlineStr">
        <is>
          <t>Finanzas</t>
        </is>
      </c>
      <c r="F9" s="41" t="inlineStr">
        <is>
          <t>Abierto</t>
        </is>
      </c>
    </row>
    <row r="10">
      <c r="A10" s="39" t="n">
        <v>6</v>
      </c>
      <c r="B10" s="40" t="inlineStr">
        <is>
          <t>Tarifa eléctrica 270 CLP/kWh</t>
        </is>
      </c>
      <c r="C10" s="39" t="inlineStr">
        <is>
          <t>¿Incluye cargos de potencia y cargos fijos?</t>
        </is>
      </c>
      <c r="D10" s="39" t="inlineStr">
        <is>
          <t>Driver n.°2 del costo (energía = 2,5x la estimación previa)</t>
        </is>
      </c>
      <c r="E10" s="39" t="inlineStr">
        <is>
          <t>Finanzas</t>
        </is>
      </c>
      <c r="F10" s="41" t="inlineStr">
        <is>
          <t>Abierto</t>
        </is>
      </c>
    </row>
    <row r="11">
      <c r="A11" s="39" t="n">
        <v>7</v>
      </c>
      <c r="B11" s="40" t="inlineStr">
        <is>
          <t>Dotación mensual RRHH</t>
        </is>
      </c>
      <c r="C11" s="39" t="inlineStr">
        <is>
          <t>Excel indica 'Laboratorista/mes 3 · 0,75' — ambiguo (¿FTE o personas?)</t>
        </is>
      </c>
      <c r="D11" s="39" t="inlineStr">
        <is>
          <t>RRHH por etapa</t>
        </is>
      </c>
      <c r="E11" s="39" t="inlineStr">
        <is>
          <t>RRHH</t>
        </is>
      </c>
      <c r="F11" s="41" t="inlineStr">
        <is>
          <t>Abierto</t>
        </is>
      </c>
    </row>
    <row r="12">
      <c r="A12" s="39" t="n">
        <v>8</v>
      </c>
      <c r="B12" s="40" t="inlineStr">
        <is>
          <t>Leyes sociales</t>
        </is>
      </c>
      <c r="C12" s="39" t="inlineStr">
        <is>
          <t>El Excel no aplica x1,35 sobre sueldos</t>
        </is>
      </c>
      <c r="D12" s="39" t="inlineStr">
        <is>
          <t>RRHH +35% en EERR formal (la plataforma sí lo aplica)</t>
        </is>
      </c>
      <c r="E12" s="39" t="inlineStr">
        <is>
          <t>Finanzas</t>
        </is>
      </c>
      <c r="F12" s="39" t="inlineStr">
        <is>
          <t>Documentado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2026-07-03T15:06:50Z</dcterms:created>
  <dcterms:modified xmlns:dcterms="http://purl.org/dc/terms/" xmlns:xsi="http://www.w3.org/2001/XMLSchema-instance" xsi:type="dcterms:W3CDTF">2026-07-03T15:06:50Z</dcterms:modified>
</cp:coreProperties>
</file>
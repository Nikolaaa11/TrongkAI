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vmlDrawing1.vml" ContentType="application/vnd.openxmlformats-officedocument.vmlDrawing"/>
  <Override PartName="/xl/comments4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ARAMETROS" sheetId="2" state="visible" r:id="rId4"/>
    <sheet name="FLUJO MASA" sheetId="3" state="visible" r:id="rId5"/>
    <sheet name="COSTOS ETAPAS" sheetId="4" state="visible" r:id="rId6"/>
    <sheet name="RUTAS" sheetId="5" state="visible" r:id="rId7"/>
    <sheet name="POR VALIDAR" sheetId="6" state="visible" r:id="rId8"/>
  </sheets>
  <definedNames>
    <definedName function="false" hidden="false" name="AGUA_EST" vbProcedure="false">PARAMETROS!$B$21</definedName>
    <definedName function="false" hidden="false" name="AGUA_LIMP_M3" vbProcedure="false">PARAMETROS!$B$43</definedName>
    <definedName function="false" hidden="false" name="AGUA_M3" vbProcedure="false">PARAMETROS!$B$6</definedName>
    <definedName function="false" hidden="false" name="AGUA_TOTAL" vbProcedure="false">PARAMETROS!$B$8</definedName>
    <definedName function="false" hidden="false" name="ALCANT" vbProcedure="false">PARAMETROS!$B$7</definedName>
    <definedName function="false" hidden="false" name="CAMIONES" vbProcedure="false">PARAMETROS!$B$17</definedName>
    <definedName function="false" hidden="false" name="CAM_EUR" vbProcedure="false">PARAMETROS!$B$47</definedName>
    <definedName function="false" hidden="false" name="CAM_JUEGO_TON" vbProcedure="false">PARAMETROS!$E$47</definedName>
    <definedName function="false" hidden="false" name="CAM_TON" vbProcedure="false">PARAMETROS!$B$49</definedName>
    <definedName function="false" hidden="false" name="DESINF" vbProcedure="false">PARAMETROS!$B$42</definedName>
    <definedName function="false" hidden="false" name="DIAS_MES" vbProcedure="false">PARAMETROS!$B$26</definedName>
    <definedName function="false" hidden="false" name="ELEC_EUR" vbProcedure="false">PARAMETROS!$B$46</definedName>
    <definedName function="false" hidden="false" name="ELEC_JUEGO_TON" vbProcedure="false">PARAMETROS!$E$46</definedName>
    <definedName function="false" hidden="false" name="ELEC_TON" vbProcedure="false">PARAMETROS!$B$48</definedName>
    <definedName function="false" hidden="false" name="EUR_CLP" vbProcedure="false">PARAMETROS!$B$9</definedName>
    <definedName function="false" hidden="false" name="HORAS_DIA" vbProcedure="false">PARAMETROS!$B$16</definedName>
    <definedName function="false" hidden="false" name="HORAS_TURNO" vbProcedure="false">PARAMETROS!$B$15</definedName>
    <definedName function="false" hidden="false" name="HUM_IN" vbProcedure="false">PARAMETROS!$B$20</definedName>
    <definedName function="false" hidden="false" name="H_LAB" vbProcedure="false">PARAMETROS!$E$29</definedName>
    <definedName function="false" hidden="false" name="H_MES" vbProcedure="false">PARAMETROS!$B$33</definedName>
    <definedName function="false" hidden="false" name="H_OP" vbProcedure="false">PARAMETROS!$E$31</definedName>
    <definedName function="false" hidden="false" name="H_RECEP" vbProcedure="false">PARAMETROS!$E$30</definedName>
    <definedName function="false" hidden="false" name="H_SUP" vbProcedure="false">PARAMETROS!$E$32</definedName>
    <definedName function="false" hidden="false" name="MAXI_CLP" vbProcedure="false">PARAMETROS!$B$38</definedName>
    <definedName function="false" hidden="false" name="MAXI_KG" vbProcedure="false">PARAMETROS!$B$39</definedName>
    <definedName function="false" hidden="false" name="MP_SECA_FIN" vbProcedure="false">'FLUJO MASA'!$G$16</definedName>
    <definedName function="false" hidden="false" name="MP_SECA_IN" vbProcedure="false">PARAMETROS!$B$23</definedName>
    <definedName function="false" hidden="false" name="MUESTRA" vbProcedure="false">PARAMETROS!$B$11</definedName>
    <definedName function="false" hidden="false" name="PALLET" vbProcedure="false">PARAMETROS!$B$40</definedName>
    <definedName function="false" hidden="false" name="PALLET_MES" vbProcedure="false">PARAMETROS!$B$41</definedName>
    <definedName function="false" hidden="false" name="PERDIDA" vbProcedure="false">PARAMETROS!$B$24</definedName>
    <definedName function="false" hidden="false" name="SACO_CLP" vbProcedure="false">PARAMETROS!$B$36</definedName>
    <definedName function="false" hidden="false" name="SACO_KG" vbProcedure="false">PARAMETROS!$B$37</definedName>
    <definedName function="false" hidden="false" name="S_LAB" vbProcedure="false">PARAMETROS!$B$29</definedName>
    <definedName function="false" hidden="false" name="S_OP" vbProcedure="false">PARAMETROS!$B$31</definedName>
    <definedName function="false" hidden="false" name="S_RECEP" vbProcedure="false">PARAMETROS!$B$30</definedName>
    <definedName function="false" hidden="false" name="S_SUP" vbProcedure="false">PARAMETROS!$B$32</definedName>
    <definedName function="false" hidden="false" name="TARIFA_KWH" vbProcedure="false">PARAMETROS!$B$5</definedName>
    <definedName function="false" hidden="false" name="TON_CAMION" vbProcedure="false">PARAMETROS!$B$18</definedName>
    <definedName function="false" hidden="false" name="TON_MES" vbProcedure="false">PARAMETROS!$B$25</definedName>
    <definedName function="false" hidden="false" name="TON_MMPP" vbProcedure="false">PARAMETROS!$B$19</definedName>
    <definedName function="false" hidden="false" name="TON_PROCESO" vbProcedure="false">PARAMETROS!$B$22</definedName>
    <definedName function="false" hidden="false" name="TURNOS" vbProcedure="false">PARAMETROS!$B$14</definedName>
    <definedName function="false" hidden="false" name="USD_CLP" vbProcedure="false">PARAMETROS!$B$10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TrongkAI</author>
  </authors>
  <commentList>
    <comment ref="K6" authorId="0">
      <text>
        <r>
          <rPr>
            <sz val="10"/>
            <rFont val="Arial"/>
            <family val="2"/>
          </rPr>
          <t xml:space="preserve">Residual de conciliación con el Excel origen (descomposición interna ambigua en la fuente).</t>
        </r>
      </text>
    </comment>
    <comment ref="K15" authorId="0">
      <text>
        <r>
          <rPr>
            <sz val="10"/>
            <rFont val="Arial"/>
            <family val="2"/>
          </rPr>
          <t xml:space="preserve">Residual de conciliación con el Excel origen (descomposición interna ambigua en la fuente).</t>
        </r>
      </text>
    </comment>
    <comment ref="K16" authorId="0">
      <text>
        <r>
          <rPr>
            <sz val="10"/>
            <rFont val="Arial"/>
            <family val="2"/>
          </rPr>
          <t xml:space="preserve">Residual de conciliación con el Excel origen (descomposición interna ambigua en la fuente).</t>
        </r>
      </text>
    </comment>
  </commentList>
</comments>
</file>

<file path=xl/sharedStrings.xml><?xml version="1.0" encoding="utf-8"?>
<sst xmlns="http://schemas.openxmlformats.org/spreadsheetml/2006/main" count="295" uniqueCount="217">
  <si>
    <t xml:space="preserve">Costos por Procesos — v3</t>
  </si>
  <si>
    <t xml:space="preserve">Modelo afinado TrongkAI · Fuente: Excel equipo 03-jul-2026 · Costo VARIABLE de procesamiento por ton de materia seca</t>
  </si>
  <si>
    <t xml:space="preserve">INDICADORES CLAVE</t>
  </si>
  <si>
    <t xml:space="preserve">Ruta SACO (Excel origen)</t>
  </si>
  <si>
    <t xml:space="preserve">CLP/día</t>
  </si>
  <si>
    <t xml:space="preserve">Ruta MAXISACO (Excel origen)</t>
  </si>
  <si>
    <t xml:space="preserve">Costo por ton MP seca — SACO</t>
  </si>
  <si>
    <t xml:space="preserve">CLP/ton</t>
  </si>
  <si>
    <t xml:space="preserve">Costo por ton MP seca — MAXISACO</t>
  </si>
  <si>
    <t xml:space="preserve">Ahorro si se elige maxisaco</t>
  </si>
  <si>
    <t xml:space="preserve">CLP/mes</t>
  </si>
  <si>
    <t xml:space="preserve">Ruta más barata (maxisaco+tricanter+residual)</t>
  </si>
  <si>
    <t xml:space="preserve">MP seca final por día</t>
  </si>
  <si>
    <t xml:space="preserve">ton/día</t>
  </si>
  <si>
    <t xml:space="preserve">Toneladas a procesar por día</t>
  </si>
  <si>
    <t xml:space="preserve">LA REGLA DE ORO</t>
  </si>
  <si>
    <t xml:space="preserve">• Este modelo mide el costo VARIABLE de procesamiento por tonelada de MATERIA SECA.</t>
  </si>
  <si>
    <t xml:space="preserve">• NO incluye: arriendos PEF/Tricanter, leyes sociales (x1,35), fletes, overhead ni MMPP.</t>
  </si>
  <si>
    <t xml:space="preserve">• El OPEX completo del piloto vive en la plataforma (trongkai-web.vercel.app/simulacion): 19.114 CLP/kg SKU.</t>
  </si>
  <si>
    <t xml:space="preserve">• Nunca comparar 195 CLP/kg (materia seca, variable) contra 19.114 CLP/kg (SKU final, completo).</t>
  </si>
  <si>
    <t xml:space="preserve">• Hojas: PARAMETROS (editar azul) → FLUJO MASA → COSTOS ETAPAS → RUTAS → POR VALIDAR.</t>
  </si>
  <si>
    <t xml:space="preserve">LEYENDA DE COLORES</t>
  </si>
  <si>
    <t xml:space="preserve">Azul = input editable · Negro = fórmula · Verde = link entre hojas · Amarillo = por validar con el equipo</t>
  </si>
  <si>
    <t xml:space="preserve">Parámetros del modelo</t>
  </si>
  <si>
    <t xml:space="preserve">Celdas AZULES = editables. Todo el modelo recalcula al cambiarlas. Fuente: costos por procesos (3).xlsx — equipo 03-jul-2026</t>
  </si>
  <si>
    <t xml:space="preserve">TARIFAS Y CAMBIO</t>
  </si>
  <si>
    <t xml:space="preserve">Energía eléctrica</t>
  </si>
  <si>
    <t xml:space="preserve">CLP/kWh</t>
  </si>
  <si>
    <t xml:space="preserve">Excel equipo 03-jul-2026. Validar si incluye potencia y cargos fijos</t>
  </si>
  <si>
    <t xml:space="preserve">Agua</t>
  </si>
  <si>
    <t xml:space="preserve">CLP/m³</t>
  </si>
  <si>
    <t xml:space="preserve">Canon equipo</t>
  </si>
  <si>
    <t xml:space="preserve">Alcantarillado / tratamiento</t>
  </si>
  <si>
    <t xml:space="preserve">POR VALIDAR si se paga</t>
  </si>
  <si>
    <t xml:space="preserve">Agua total limpieza</t>
  </si>
  <si>
    <t xml:space="preserve">Agua + alcantarillado</t>
  </si>
  <si>
    <t xml:space="preserve">EUR / CLP</t>
  </si>
  <si>
    <t xml:space="preserve">CLP</t>
  </si>
  <si>
    <t xml:space="preserve">USD / CLP</t>
  </si>
  <si>
    <t xml:space="preserve">Costo por muestra laboratorio</t>
  </si>
  <si>
    <t xml:space="preserve">Acidez, humedad, estabilidad</t>
  </si>
  <si>
    <t xml:space="preserve">OPERACIÓN</t>
  </si>
  <si>
    <t xml:space="preserve">Turnos por día</t>
  </si>
  <si>
    <t xml:space="preserve">turnos</t>
  </si>
  <si>
    <t xml:space="preserve">Horas por turno</t>
  </si>
  <si>
    <t xml:space="preserve">h</t>
  </si>
  <si>
    <t xml:space="preserve">Horas operación/día</t>
  </si>
  <si>
    <t xml:space="preserve">h/día</t>
  </si>
  <si>
    <t xml:space="preserve">Camiones por día</t>
  </si>
  <si>
    <t xml:space="preserve">camiones</t>
  </si>
  <si>
    <t xml:space="preserve">Toneladas por camión</t>
  </si>
  <si>
    <t xml:space="preserve">ton</t>
  </si>
  <si>
    <t xml:space="preserve">Ton MMPP recibidas/día</t>
  </si>
  <si>
    <t xml:space="preserve">Humedad ingreso MMPP</t>
  </si>
  <si>
    <t xml:space="preserve">%</t>
  </si>
  <si>
    <t xml:space="preserve">Agua incorporada estandarización</t>
  </si>
  <si>
    <t xml:space="preserve">m³/ton</t>
  </si>
  <si>
    <t xml:space="preserve">Ton a procesar/día</t>
  </si>
  <si>
    <t xml:space="preserve">MMPP + agua incorporada</t>
  </si>
  <si>
    <t xml:space="preserve">Ton MP seca ingreso</t>
  </si>
  <si>
    <t xml:space="preserve">Pérdida por etapa</t>
  </si>
  <si>
    <t xml:space="preserve">Uniforme, canon equipo</t>
  </si>
  <si>
    <t xml:space="preserve">Recepción mensual</t>
  </si>
  <si>
    <t xml:space="preserve">ton/mes</t>
  </si>
  <si>
    <t xml:space="preserve">Días equivalentes/mes</t>
  </si>
  <si>
    <t xml:space="preserve">días</t>
  </si>
  <si>
    <t xml:space="preserve">Recepción mensual / ton día</t>
  </si>
  <si>
    <t xml:space="preserve">RRHH (sueldo bruto mensual — sin leyes sociales, réplica Excel)</t>
  </si>
  <si>
    <t xml:space="preserve">Laboratorista</t>
  </si>
  <si>
    <t xml:space="preserve">Valor hora en col. E</t>
  </si>
  <si>
    <t xml:space="preserve">Recepcionista</t>
  </si>
  <si>
    <t xml:space="preserve">Operario planta</t>
  </si>
  <si>
    <t xml:space="preserve">Supervisor de planta</t>
  </si>
  <si>
    <t xml:space="preserve">Horas por mes</t>
  </si>
  <si>
    <t xml:space="preserve">h/mes</t>
  </si>
  <si>
    <t xml:space="preserve">Base valor hora (Excel origen). OJO: EERR formal usa x1,35 leyes sociales</t>
  </si>
  <si>
    <t xml:space="preserve">PACKAGING E INSUMOS</t>
  </si>
  <si>
    <t xml:space="preserve">Saco 25 kg</t>
  </si>
  <si>
    <t xml:space="preserve">CLP/unidad</t>
  </si>
  <si>
    <t xml:space="preserve">Kg por saco</t>
  </si>
  <si>
    <t xml:space="preserve">kg</t>
  </si>
  <si>
    <t xml:space="preserve">Maxisaco 800 kg</t>
  </si>
  <si>
    <t xml:space="preserve">Kg por maxisaco</t>
  </si>
  <si>
    <t xml:space="preserve">Pallet (compra)</t>
  </si>
  <si>
    <t xml:space="preserve">40 sacos por pallet</t>
  </si>
  <si>
    <t xml:space="preserve">Arriendo pallet</t>
  </si>
  <si>
    <t xml:space="preserve">Desinfectantes por etapa</t>
  </si>
  <si>
    <t xml:space="preserve">POR VALIDAR: valor idéntico al EUR de electrodos (posible copia)</t>
  </si>
  <si>
    <t xml:space="preserve">Agua limpieza por etapa</t>
  </si>
  <si>
    <t xml:space="preserve">m³/día</t>
  </si>
  <si>
    <t xml:space="preserve">REPUESTOS PEF (amortizados por tonelada procesada)</t>
  </si>
  <si>
    <t xml:space="preserve">Electrodos PEF</t>
  </si>
  <si>
    <t xml:space="preserve">EUR/juego</t>
  </si>
  <si>
    <t xml:space="preserve">Duración 300 h — POR VALIDAR: sistema indica 200 h</t>
  </si>
  <si>
    <t xml:space="preserve">Cámara geometría específica</t>
  </si>
  <si>
    <t xml:space="preserve">Duración 600 h · col. E = ton por juego</t>
  </si>
  <si>
    <t xml:space="preserve">Electrodos CLP/ton procesada</t>
  </si>
  <si>
    <t xml:space="preserve">Cámara CLP/ton procesada</t>
  </si>
  <si>
    <t xml:space="preserve">Flujo de masa por etapa</t>
  </si>
  <si>
    <t xml:space="preserve">Cadena de humedad y pérdidas (0,5% por etapa). MP seca: 26,4 → 25,36 ton/día en 8 pasos.</t>
  </si>
  <si>
    <t xml:space="preserve">Etapa</t>
  </si>
  <si>
    <t xml:space="preserve">Proceso</t>
  </si>
  <si>
    <t xml:space="preserve">Ton entra</t>
  </si>
  <si>
    <t xml:space="preserve">Ton sale</t>
  </si>
  <si>
    <t xml:space="preserve">Humedad entra</t>
  </si>
  <si>
    <t xml:space="preserve">Humedad sale</t>
  </si>
  <si>
    <t xml:space="preserve">MP seca (ton)</t>
  </si>
  <si>
    <t xml:space="preserve">Nota</t>
  </si>
  <si>
    <t xml:space="preserve">E1</t>
  </si>
  <si>
    <t xml:space="preserve">Recepción MP</t>
  </si>
  <si>
    <t xml:space="preserve">3 camiones × 22 ton. Muestreo por camión</t>
  </si>
  <si>
    <t xml:space="preserve">E2</t>
  </si>
  <si>
    <t xml:space="preserve">Estandarización</t>
  </si>
  <si>
    <t xml:space="preserve">Incorpora 0,25 m³ agua/ton</t>
  </si>
  <si>
    <t xml:space="preserve">E3</t>
  </si>
  <si>
    <t xml:space="preserve">PEF (electroporación)</t>
  </si>
  <si>
    <t xml:space="preserve">Repuestos amortizados por ton</t>
  </si>
  <si>
    <t xml:space="preserve">E4.1</t>
  </si>
  <si>
    <t xml:space="preserve">Prensado tradicional</t>
  </si>
  <si>
    <t xml:space="preserve">Alternativa A</t>
  </si>
  <si>
    <t xml:space="preserve">E4.2</t>
  </si>
  <si>
    <t xml:space="preserve">Tricanter (centrífugo)</t>
  </si>
  <si>
    <t xml:space="preserve">Alternativa B — la cadena de masa del Excel origen sigue esta ruta</t>
  </si>
  <si>
    <t xml:space="preserve">E5.1</t>
  </si>
  <si>
    <t xml:space="preserve">Deshidratación bomba de calor</t>
  </si>
  <si>
    <t xml:space="preserve">80 kW</t>
  </si>
  <si>
    <t xml:space="preserve">E5.2</t>
  </si>
  <si>
    <t xml:space="preserve">Deshidratación calor residual</t>
  </si>
  <si>
    <t xml:space="preserve">Calor residual La Gloria — 4,4x más barata</t>
  </si>
  <si>
    <t xml:space="preserve">E6</t>
  </si>
  <si>
    <t xml:space="preserve">Enfriador eléctrico</t>
  </si>
  <si>
    <t xml:space="preserve">E7</t>
  </si>
  <si>
    <t xml:space="preserve">Molienda</t>
  </si>
  <si>
    <t xml:space="preserve">E8.1</t>
  </si>
  <si>
    <t xml:space="preserve">Homogenizado + SACO 25 kg</t>
  </si>
  <si>
    <t xml:space="preserve">~1.114 sacos/día</t>
  </si>
  <si>
    <t xml:space="preserve">E8.2</t>
  </si>
  <si>
    <t xml:space="preserve">Homogenizado + MAXISACO 800 kg</t>
  </si>
  <si>
    <t xml:space="preserve">~35 maxisacos/día</t>
  </si>
  <si>
    <t xml:space="preserve">E9</t>
  </si>
  <si>
    <t xml:space="preserve">Etiquetado y almacenamiento</t>
  </si>
  <si>
    <t xml:space="preserve">MP seca final del modelo</t>
  </si>
  <si>
    <t xml:space="preserve">MP seca final:</t>
  </si>
  <si>
    <t xml:space="preserve">Costos por etapa (CLP/día)</t>
  </si>
  <si>
    <t xml:space="preserve">Fórmulas vivas desde PARAMETROS. Columna 'Excel origen' = total del archivo del equipo; Δ debe ser ~0.</t>
  </si>
  <si>
    <t xml:space="preserve">RRHH</t>
  </si>
  <si>
    <t xml:space="preserve">kW equipos</t>
  </si>
  <si>
    <t xml:space="preserve">Energía</t>
  </si>
  <si>
    <t xml:space="preserve">Desinfect.</t>
  </si>
  <si>
    <t xml:space="preserve">Limpieza (1h)</t>
  </si>
  <si>
    <t xml:space="preserve">Muestras</t>
  </si>
  <si>
    <t xml:space="preserve">Insumos / packaging</t>
  </si>
  <si>
    <t xml:space="preserve">Ajuste concil.</t>
  </si>
  <si>
    <t xml:space="preserve">TOTAL CLP/día</t>
  </si>
  <si>
    <t xml:space="preserve">Excel origen</t>
  </si>
  <si>
    <t xml:space="preserve">Δ</t>
  </si>
  <si>
    <t xml:space="preserve">CLP/ton MP seca</t>
  </si>
  <si>
    <t xml:space="preserve">Comparativo de rutas</t>
  </si>
  <si>
    <t xml:space="preserve">Cada ruta = E1+E2+E3 + prensado + secado + E6+E7 + packaging + E9. El Excel origen usa E4.1 + E5.1 (rutas 'base').</t>
  </si>
  <si>
    <t xml:space="preserve">Ruta</t>
  </si>
  <si>
    <t xml:space="preserve">Prensado</t>
  </si>
  <si>
    <t xml:space="preserve">Secado</t>
  </si>
  <si>
    <t xml:space="preserve">Packaging</t>
  </si>
  <si>
    <t xml:space="preserve">CLP/kg MP seca</t>
  </si>
  <si>
    <t xml:space="preserve">SACO base (= Excel origen)</t>
  </si>
  <si>
    <t xml:space="preserve">Prensa</t>
  </si>
  <si>
    <t xml:space="preserve">Bomba calor</t>
  </si>
  <si>
    <t xml:space="preserve">MAXISACO base (= Excel origen)</t>
  </si>
  <si>
    <t xml:space="preserve">SACO + calor residual</t>
  </si>
  <si>
    <t xml:space="preserve">Calor residual</t>
  </si>
  <si>
    <t xml:space="preserve">MAXISACO + calor residual</t>
  </si>
  <si>
    <t xml:space="preserve">MAXISACO + tricanter + residual (más barata)</t>
  </si>
  <si>
    <t xml:space="preserve">Tricanter</t>
  </si>
  <si>
    <t xml:space="preserve">DECISIÓN PACKAGING</t>
  </si>
  <si>
    <t xml:space="preserve">Ahorro maxisaco vs saco (CLP/día)</t>
  </si>
  <si>
    <t xml:space="preserve">Ahorro maxisaco vs saco (CLP/mes)</t>
  </si>
  <si>
    <t xml:space="preserve">Factor de costo saco / maxisaco</t>
  </si>
  <si>
    <t xml:space="preserve">Ahorro calor residual vs bomba calor (CLP/día)</t>
  </si>
  <si>
    <t xml:space="preserve">⚠ El packaging en saco 25 kg es el 69% del costo de la ruta base: decisión comercial n.°1 del piloto.</t>
  </si>
  <si>
    <t xml:space="preserve">Pendientes por validar con el equipo</t>
  </si>
  <si>
    <t xml:space="preserve">Cada ítem cambia el resultado del modelo. Actualizar PARAMETROS cuando se confirme.</t>
  </si>
  <si>
    <t xml:space="preserve">#</t>
  </si>
  <si>
    <t xml:space="preserve">Tema</t>
  </si>
  <si>
    <t xml:space="preserve">Detalle</t>
  </si>
  <si>
    <t xml:space="preserve">Impacto si cambia</t>
  </si>
  <si>
    <t xml:space="preserve">Dueño sugerido</t>
  </si>
  <si>
    <t xml:space="preserve">Estado</t>
  </si>
  <si>
    <t xml:space="preserve">Alcantarillado 950 CLP/m³</t>
  </si>
  <si>
    <t xml:space="preserve">¿Se paga alcantarillado/tratamiento sobre el agua?</t>
  </si>
  <si>
    <t xml:space="preserve">Agua limpieza por etapa: 1.750 → 800 CLP/día</t>
  </si>
  <si>
    <t xml:space="preserve">Operaciones</t>
  </si>
  <si>
    <t xml:space="preserve">Abierto</t>
  </si>
  <si>
    <t xml:space="preserve">Duración electrodos PEF</t>
  </si>
  <si>
    <t xml:space="preserve">Excel dice 300 h; el sistema de la máquina indica 200 h</t>
  </si>
  <si>
    <t xml:space="preserve">Repuestos: 702 → 1.053 CLP/ton (+50%)</t>
  </si>
  <si>
    <t xml:space="preserve">Jefe planta</t>
  </si>
  <si>
    <t xml:space="preserve">Desinfectantes 802,33 CLP</t>
  </si>
  <si>
    <t xml:space="preserve">Valor idéntico al precio EUR de electrodos (posible error de copia)</t>
  </si>
  <si>
    <t xml:space="preserve">Menor (≈800 CLP/día/etapa)</t>
  </si>
  <si>
    <t xml:space="preserve">Ruta cruzada del Excel origen</t>
  </si>
  <si>
    <t xml:space="preserve">El costo total usa prensa (E4.1) pero la cadena de masa sigue al tricanter (E4.2)</t>
  </si>
  <si>
    <t xml:space="preserve">Definir ruta operativa real; este modelo separa las 4 rutas</t>
  </si>
  <si>
    <t xml:space="preserve">Corregido aquí</t>
  </si>
  <si>
    <t xml:space="preserve">E8.2 maxisaco multiplicador</t>
  </si>
  <si>
    <t xml:space="preserve">La fuente mezcla multiplicadores (≈51.000 CLP/día de diferencia)</t>
  </si>
  <si>
    <t xml:space="preserve">Maxisaco seguiría siendo 2,4x más barato</t>
  </si>
  <si>
    <t xml:space="preserve">Finanzas</t>
  </si>
  <si>
    <t xml:space="preserve">Tarifa eléctrica 270 CLP/kWh</t>
  </si>
  <si>
    <t xml:space="preserve">¿Incluye cargos de potencia y cargos fijos?</t>
  </si>
  <si>
    <t xml:space="preserve">Driver n.°2 del costo (energía = 2,5x la estimación previa)</t>
  </si>
  <si>
    <t xml:space="preserve">Dotación mensual RRHH</t>
  </si>
  <si>
    <t xml:space="preserve">Excel indica 'Laboratorista/mes 3 · 0,75' — ambiguo (¿FTE o personas?)</t>
  </si>
  <si>
    <t xml:space="preserve">RRHH por etapa</t>
  </si>
  <si>
    <t xml:space="preserve">Leyes sociales</t>
  </si>
  <si>
    <t xml:space="preserve">El Excel no aplica x1,35 sobre sueldos</t>
  </si>
  <si>
    <t xml:space="preserve">RRHH +35% en EERR formal (la plataforma sí lo aplica)</t>
  </si>
  <si>
    <t xml:space="preserve">Documentado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</si>
</sst>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#,##0.00"/>
    <numFmt numFmtId="167" formatCode="0"/>
    <numFmt numFmtId="168" formatCode="0.0%"/>
    <numFmt numFmtId="169" formatCode="0.00"/>
    <numFmt numFmtId="170" formatCode="0.0"/>
    <numFmt numFmtId="171" formatCode="#,##0.00;\(#,##0.00\);\-"/>
    <numFmt numFmtId="172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1D1F"/>
      <name val="Arial"/>
      <family val="0"/>
      <charset val="1"/>
    </font>
    <font>
      <sz val="10"/>
      <color rgb="FF6E6E73"/>
      <name val="Arial"/>
      <family val="0"/>
      <charset val="1"/>
    </font>
    <font>
      <b val="true"/>
      <sz val="10"/>
      <color rgb="FF1D1D1F"/>
      <name val="Arial"/>
      <family val="0"/>
      <charset val="1"/>
    </font>
    <font>
      <sz val="10"/>
      <color rgb="FF1D1D1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8ED"/>
        <bgColor rgb="FFD2D2D7"/>
      </patternFill>
    </fill>
    <fill>
      <patternFill patternType="solid">
        <fgColor rgb="FFFFFF00"/>
        <bgColor rgb="FFFFFF00"/>
      </patternFill>
    </fill>
    <fill>
      <patternFill patternType="solid">
        <fgColor rgb="FF1D1D1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2D2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8ED"/>
      <rgbColor rgb="FF660066"/>
      <rgbColor rgb="FFFF8080"/>
      <rgbColor rgb="FF0066CC"/>
      <rgbColor rgb="FFD2D2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4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</row>
    <row r="5" customFormat="false" ht="15" hidden="false" customHeight="true" outlineLevel="0" collapsed="false">
      <c r="A5" s="6" t="s">
        <v>3</v>
      </c>
      <c r="B5" s="7" t="n">
        <f aca="false">RUTAS!E5</f>
        <v>4938613.1959375</v>
      </c>
      <c r="C5" s="8" t="s">
        <v>4</v>
      </c>
      <c r="D5" s="9"/>
    </row>
    <row r="6" customFormat="false" ht="15" hidden="false" customHeight="true" outlineLevel="0" collapsed="false">
      <c r="A6" s="6" t="s">
        <v>5</v>
      </c>
      <c r="B6" s="7" t="n">
        <f aca="false">RUTAS!E6</f>
        <v>1976697.4059375</v>
      </c>
      <c r="C6" s="8" t="s">
        <v>4</v>
      </c>
      <c r="D6" s="9"/>
    </row>
    <row r="7" customFormat="false" ht="15" hidden="false" customHeight="true" outlineLevel="0" collapsed="false">
      <c r="A7" s="6" t="s">
        <v>6</v>
      </c>
      <c r="B7" s="7" t="n">
        <f aca="false">RUTAS!F5</f>
        <v>194722.635825571</v>
      </c>
      <c r="C7" s="8" t="s">
        <v>7</v>
      </c>
      <c r="D7" s="9"/>
    </row>
    <row r="8" customFormat="false" ht="15" hidden="false" customHeight="true" outlineLevel="0" collapsed="false">
      <c r="A8" s="6" t="s">
        <v>8</v>
      </c>
      <c r="B8" s="7" t="n">
        <f aca="false">RUTAS!F6</f>
        <v>77938.423975043</v>
      </c>
      <c r="C8" s="8" t="s">
        <v>7</v>
      </c>
      <c r="D8" s="9"/>
    </row>
    <row r="9" customFormat="false" ht="15" hidden="false" customHeight="true" outlineLevel="0" collapsed="false">
      <c r="A9" s="6" t="s">
        <v>9</v>
      </c>
      <c r="B9" s="7" t="n">
        <f aca="false">RUTAS!E13</f>
        <v>89755023.9393939</v>
      </c>
      <c r="C9" s="8" t="s">
        <v>10</v>
      </c>
      <c r="D9" s="9"/>
    </row>
    <row r="10" customFormat="false" ht="15" hidden="false" customHeight="true" outlineLevel="0" collapsed="false">
      <c r="A10" s="6" t="s">
        <v>11</v>
      </c>
      <c r="B10" s="7" t="n">
        <f aca="false">RUTAS!F9</f>
        <v>65606.417610991</v>
      </c>
      <c r="C10" s="8" t="s">
        <v>7</v>
      </c>
      <c r="D10" s="9"/>
    </row>
    <row r="11" customFormat="false" ht="15" hidden="false" customHeight="true" outlineLevel="0" collapsed="false">
      <c r="A11" s="6" t="s">
        <v>12</v>
      </c>
      <c r="B11" s="10" t="n">
        <f aca="false">MP_SECA_FIN</f>
        <v>25.3622963503915</v>
      </c>
      <c r="C11" s="8" t="s">
        <v>13</v>
      </c>
      <c r="D11" s="9"/>
    </row>
    <row r="12" customFormat="false" ht="15" hidden="false" customHeight="true" outlineLevel="0" collapsed="false">
      <c r="A12" s="6" t="s">
        <v>14</v>
      </c>
      <c r="B12" s="10" t="n">
        <f aca="false">TON_PROCESO</f>
        <v>82.5</v>
      </c>
      <c r="C12" s="8" t="s">
        <v>13</v>
      </c>
      <c r="D12" s="9"/>
    </row>
    <row r="14" customFormat="false" ht="15" hidden="false" customHeight="true" outlineLevel="0" collapsed="false">
      <c r="A14" s="4" t="s">
        <v>15</v>
      </c>
      <c r="B14" s="5"/>
      <c r="C14" s="5"/>
      <c r="D14" s="5"/>
    </row>
    <row r="15" customFormat="false" ht="15" hidden="false" customHeight="true" outlineLevel="0" collapsed="false">
      <c r="A15" s="11" t="s">
        <v>16</v>
      </c>
    </row>
    <row r="16" customFormat="false" ht="15" hidden="false" customHeight="true" outlineLevel="0" collapsed="false">
      <c r="A16" s="11" t="s">
        <v>17</v>
      </c>
    </row>
    <row r="17" customFormat="false" ht="15" hidden="false" customHeight="true" outlineLevel="0" collapsed="false">
      <c r="A17" s="11" t="s">
        <v>18</v>
      </c>
    </row>
    <row r="18" customFormat="false" ht="15" hidden="false" customHeight="true" outlineLevel="0" collapsed="false">
      <c r="A18" s="11" t="s">
        <v>19</v>
      </c>
    </row>
    <row r="19" customFormat="false" ht="15" hidden="false" customHeight="true" outlineLevel="0" collapsed="false">
      <c r="A19" s="11" t="s">
        <v>20</v>
      </c>
    </row>
    <row r="22" customFormat="false" ht="15" hidden="false" customHeight="true" outlineLevel="0" collapsed="false">
      <c r="A22" s="4" t="s">
        <v>21</v>
      </c>
      <c r="B22" s="5"/>
      <c r="C22" s="5"/>
      <c r="D22" s="5"/>
    </row>
    <row r="23" customFormat="false" ht="15" hidden="false" customHeight="true" outlineLevel="0" collapsed="false">
      <c r="A2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2"/>
    <col collapsed="false" customWidth="true" hidden="false" outlineLevel="0" max="5" min="5" style="1" width="4"/>
  </cols>
  <sheetData>
    <row r="1" customFormat="false" ht="19.5" hidden="false" customHeight="true" outlineLevel="0" collapsed="false">
      <c r="A1" s="2" t="s">
        <v>23</v>
      </c>
    </row>
    <row r="2" customFormat="false" ht="15" hidden="false" customHeight="true" outlineLevel="0" collapsed="false">
      <c r="A2" s="3" t="s">
        <v>24</v>
      </c>
    </row>
    <row r="4" customFormat="false" ht="15" hidden="false" customHeight="true" outlineLevel="0" collapsed="false">
      <c r="A4" s="4" t="s">
        <v>25</v>
      </c>
      <c r="B4" s="5"/>
      <c r="C4" s="5"/>
      <c r="D4" s="5"/>
      <c r="E4" s="5"/>
    </row>
    <row r="5" customFormat="false" ht="15" hidden="false" customHeight="true" outlineLevel="0" collapsed="false">
      <c r="A5" s="11" t="s">
        <v>26</v>
      </c>
      <c r="B5" s="12" t="n">
        <v>270</v>
      </c>
      <c r="C5" s="3" t="s">
        <v>27</v>
      </c>
      <c r="D5" s="3" t="s">
        <v>28</v>
      </c>
    </row>
    <row r="6" customFormat="false" ht="15" hidden="false" customHeight="true" outlineLevel="0" collapsed="false">
      <c r="A6" s="11" t="s">
        <v>29</v>
      </c>
      <c r="B6" s="12" t="n">
        <v>800</v>
      </c>
      <c r="C6" s="3" t="s">
        <v>30</v>
      </c>
      <c r="D6" s="3" t="s">
        <v>31</v>
      </c>
    </row>
    <row r="7" customFormat="false" ht="15" hidden="false" customHeight="true" outlineLevel="0" collapsed="false">
      <c r="A7" s="11" t="s">
        <v>32</v>
      </c>
      <c r="B7" s="13" t="n">
        <v>950</v>
      </c>
      <c r="C7" s="3" t="s">
        <v>30</v>
      </c>
      <c r="D7" s="3" t="s">
        <v>33</v>
      </c>
    </row>
    <row r="8" customFormat="false" ht="15" hidden="false" customHeight="true" outlineLevel="0" collapsed="false">
      <c r="A8" s="11" t="s">
        <v>34</v>
      </c>
      <c r="B8" s="14" t="n">
        <f aca="false">B6+B7</f>
        <v>1750</v>
      </c>
      <c r="C8" s="3" t="s">
        <v>30</v>
      </c>
      <c r="D8" s="3" t="s">
        <v>35</v>
      </c>
    </row>
    <row r="9" customFormat="false" ht="15" hidden="false" customHeight="true" outlineLevel="0" collapsed="false">
      <c r="A9" s="11" t="s">
        <v>36</v>
      </c>
      <c r="B9" s="12" t="n">
        <v>1050</v>
      </c>
      <c r="C9" s="3" t="s">
        <v>37</v>
      </c>
      <c r="D9" s="3" t="s">
        <v>31</v>
      </c>
    </row>
    <row r="10" customFormat="false" ht="15" hidden="false" customHeight="true" outlineLevel="0" collapsed="false">
      <c r="A10" s="11" t="s">
        <v>38</v>
      </c>
      <c r="B10" s="12" t="n">
        <v>900</v>
      </c>
      <c r="C10" s="3" t="s">
        <v>37</v>
      </c>
      <c r="D10" s="3" t="s">
        <v>31</v>
      </c>
    </row>
    <row r="11" customFormat="false" ht="15" hidden="false" customHeight="true" outlineLevel="0" collapsed="false">
      <c r="A11" s="11" t="s">
        <v>39</v>
      </c>
      <c r="B11" s="12" t="n">
        <v>1500</v>
      </c>
      <c r="C11" s="3" t="s">
        <v>37</v>
      </c>
      <c r="D11" s="3" t="s">
        <v>40</v>
      </c>
    </row>
    <row r="13" customFormat="false" ht="15" hidden="false" customHeight="true" outlineLevel="0" collapsed="false">
      <c r="A13" s="4" t="s">
        <v>41</v>
      </c>
      <c r="B13" s="5"/>
      <c r="C13" s="5"/>
      <c r="D13" s="5"/>
      <c r="E13" s="5"/>
    </row>
    <row r="14" customFormat="false" ht="15" hidden="false" customHeight="true" outlineLevel="0" collapsed="false">
      <c r="A14" s="11" t="s">
        <v>42</v>
      </c>
      <c r="B14" s="15" t="n">
        <v>2</v>
      </c>
      <c r="C14" s="3" t="s">
        <v>43</v>
      </c>
      <c r="D14" s="3"/>
    </row>
    <row r="15" customFormat="false" ht="15" hidden="false" customHeight="true" outlineLevel="0" collapsed="false">
      <c r="A15" s="11" t="s">
        <v>44</v>
      </c>
      <c r="B15" s="15" t="n">
        <v>8</v>
      </c>
      <c r="C15" s="3" t="s">
        <v>45</v>
      </c>
      <c r="D15" s="3"/>
    </row>
    <row r="16" customFormat="false" ht="15" hidden="false" customHeight="true" outlineLevel="0" collapsed="false">
      <c r="A16" s="11" t="s">
        <v>46</v>
      </c>
      <c r="B16" s="16" t="n">
        <f aca="false">B14*B15</f>
        <v>16</v>
      </c>
      <c r="C16" s="3" t="s">
        <v>47</v>
      </c>
      <c r="D16" s="3"/>
    </row>
    <row r="17" customFormat="false" ht="15" hidden="false" customHeight="true" outlineLevel="0" collapsed="false">
      <c r="A17" s="11" t="s">
        <v>48</v>
      </c>
      <c r="B17" s="15" t="n">
        <v>3</v>
      </c>
      <c r="C17" s="3" t="s">
        <v>49</v>
      </c>
      <c r="D17" s="3"/>
    </row>
    <row r="18" customFormat="false" ht="15" hidden="false" customHeight="true" outlineLevel="0" collapsed="false">
      <c r="A18" s="11" t="s">
        <v>50</v>
      </c>
      <c r="B18" s="15" t="n">
        <v>22</v>
      </c>
      <c r="C18" s="3" t="s">
        <v>51</v>
      </c>
      <c r="D18" s="3"/>
    </row>
    <row r="19" customFormat="false" ht="15" hidden="false" customHeight="true" outlineLevel="0" collapsed="false">
      <c r="A19" s="11" t="s">
        <v>52</v>
      </c>
      <c r="B19" s="17" t="n">
        <f aca="false">B17*B18</f>
        <v>66</v>
      </c>
      <c r="C19" s="3" t="s">
        <v>13</v>
      </c>
      <c r="D19" s="3"/>
    </row>
    <row r="20" customFormat="false" ht="15" hidden="false" customHeight="true" outlineLevel="0" collapsed="false">
      <c r="A20" s="11" t="s">
        <v>53</v>
      </c>
      <c r="B20" s="18" t="n">
        <v>0.6</v>
      </c>
      <c r="C20" s="3" t="s">
        <v>54</v>
      </c>
      <c r="D20" s="3" t="s">
        <v>31</v>
      </c>
    </row>
    <row r="21" customFormat="false" ht="15" hidden="false" customHeight="true" outlineLevel="0" collapsed="false">
      <c r="A21" s="11" t="s">
        <v>55</v>
      </c>
      <c r="B21" s="19" t="n">
        <v>0.25</v>
      </c>
      <c r="C21" s="3" t="s">
        <v>56</v>
      </c>
      <c r="D21" s="3"/>
    </row>
    <row r="22" customFormat="false" ht="15" hidden="false" customHeight="true" outlineLevel="0" collapsed="false">
      <c r="A22" s="11" t="s">
        <v>57</v>
      </c>
      <c r="B22" s="17" t="n">
        <f aca="false">B19*(1+B21)</f>
        <v>82.5</v>
      </c>
      <c r="C22" s="3" t="s">
        <v>13</v>
      </c>
      <c r="D22" s="3" t="s">
        <v>58</v>
      </c>
    </row>
    <row r="23" customFormat="false" ht="15" hidden="false" customHeight="true" outlineLevel="0" collapsed="false">
      <c r="A23" s="11" t="s">
        <v>59</v>
      </c>
      <c r="B23" s="17" t="n">
        <f aca="false">B19*(1-B20)</f>
        <v>26.4</v>
      </c>
      <c r="C23" s="3" t="s">
        <v>13</v>
      </c>
      <c r="D23" s="3"/>
    </row>
    <row r="24" customFormat="false" ht="15" hidden="false" customHeight="true" outlineLevel="0" collapsed="false">
      <c r="A24" s="11" t="s">
        <v>60</v>
      </c>
      <c r="B24" s="18" t="n">
        <v>0.005</v>
      </c>
      <c r="C24" s="3" t="s">
        <v>54</v>
      </c>
      <c r="D24" s="3" t="s">
        <v>61</v>
      </c>
    </row>
    <row r="25" customFormat="false" ht="15" hidden="false" customHeight="true" outlineLevel="0" collapsed="false">
      <c r="A25" s="11" t="s">
        <v>62</v>
      </c>
      <c r="B25" s="12" t="n">
        <v>2000</v>
      </c>
      <c r="C25" s="3" t="s">
        <v>63</v>
      </c>
      <c r="D25" s="3"/>
    </row>
    <row r="26" customFormat="false" ht="15" hidden="false" customHeight="true" outlineLevel="0" collapsed="false">
      <c r="A26" s="11" t="s">
        <v>64</v>
      </c>
      <c r="B26" s="20" t="n">
        <f aca="false">B25/B19</f>
        <v>30.3030303030303</v>
      </c>
      <c r="C26" s="3" t="s">
        <v>65</v>
      </c>
      <c r="D26" s="3" t="s">
        <v>66</v>
      </c>
    </row>
    <row r="28" customFormat="false" ht="15" hidden="false" customHeight="true" outlineLevel="0" collapsed="false">
      <c r="A28" s="4" t="s">
        <v>67</v>
      </c>
      <c r="B28" s="5"/>
      <c r="C28" s="5"/>
      <c r="D28" s="5"/>
      <c r="E28" s="5"/>
    </row>
    <row r="29" customFormat="false" ht="15" hidden="false" customHeight="true" outlineLevel="0" collapsed="false">
      <c r="A29" s="11" t="s">
        <v>68</v>
      </c>
      <c r="B29" s="12" t="n">
        <v>1500000</v>
      </c>
      <c r="C29" s="3" t="s">
        <v>10</v>
      </c>
      <c r="D29" s="3" t="s">
        <v>69</v>
      </c>
      <c r="E29" s="21" t="n">
        <f aca="false">B29/B$33</f>
        <v>9375</v>
      </c>
    </row>
    <row r="30" customFormat="false" ht="15" hidden="false" customHeight="true" outlineLevel="0" collapsed="false">
      <c r="A30" s="11" t="s">
        <v>70</v>
      </c>
      <c r="B30" s="12" t="n">
        <v>1000000</v>
      </c>
      <c r="C30" s="3" t="s">
        <v>10</v>
      </c>
      <c r="D30" s="3"/>
      <c r="E30" s="21" t="n">
        <f aca="false">B30/B$33</f>
        <v>6250</v>
      </c>
    </row>
    <row r="31" customFormat="false" ht="15" hidden="false" customHeight="true" outlineLevel="0" collapsed="false">
      <c r="A31" s="11" t="s">
        <v>71</v>
      </c>
      <c r="B31" s="12" t="n">
        <v>1000000</v>
      </c>
      <c r="C31" s="3" t="s">
        <v>10</v>
      </c>
      <c r="D31" s="3"/>
      <c r="E31" s="21" t="n">
        <f aca="false">B31/B$33</f>
        <v>6250</v>
      </c>
    </row>
    <row r="32" customFormat="false" ht="15" hidden="false" customHeight="true" outlineLevel="0" collapsed="false">
      <c r="A32" s="11" t="s">
        <v>72</v>
      </c>
      <c r="B32" s="12" t="n">
        <v>1500000</v>
      </c>
      <c r="C32" s="3" t="s">
        <v>10</v>
      </c>
      <c r="D32" s="3"/>
      <c r="E32" s="21" t="n">
        <f aca="false">B32/B$33</f>
        <v>9375</v>
      </c>
    </row>
    <row r="33" customFormat="false" ht="15" hidden="false" customHeight="true" outlineLevel="0" collapsed="false">
      <c r="A33" s="11" t="s">
        <v>73</v>
      </c>
      <c r="B33" s="15" t="n">
        <v>160</v>
      </c>
      <c r="C33" s="3" t="s">
        <v>74</v>
      </c>
      <c r="D33" s="3" t="s">
        <v>75</v>
      </c>
    </row>
    <row r="35" customFormat="false" ht="15" hidden="false" customHeight="true" outlineLevel="0" collapsed="false">
      <c r="A35" s="4" t="s">
        <v>76</v>
      </c>
      <c r="B35" s="5"/>
      <c r="C35" s="5"/>
      <c r="D35" s="5"/>
      <c r="E35" s="5"/>
    </row>
    <row r="36" customFormat="false" ht="15" hidden="false" customHeight="true" outlineLevel="0" collapsed="false">
      <c r="A36" s="11" t="s">
        <v>77</v>
      </c>
      <c r="B36" s="12" t="n">
        <v>3000</v>
      </c>
      <c r="C36" s="3" t="s">
        <v>78</v>
      </c>
      <c r="D36" s="3"/>
    </row>
    <row r="37" customFormat="false" ht="15" hidden="false" customHeight="true" outlineLevel="0" collapsed="false">
      <c r="A37" s="11" t="s">
        <v>79</v>
      </c>
      <c r="B37" s="15" t="n">
        <v>25</v>
      </c>
      <c r="C37" s="3" t="s">
        <v>80</v>
      </c>
      <c r="D37" s="3"/>
    </row>
    <row r="38" customFormat="false" ht="15" hidden="false" customHeight="true" outlineLevel="0" collapsed="false">
      <c r="A38" s="11" t="s">
        <v>81</v>
      </c>
      <c r="B38" s="12" t="n">
        <v>10000</v>
      </c>
      <c r="C38" s="3" t="s">
        <v>78</v>
      </c>
      <c r="D38" s="3"/>
    </row>
    <row r="39" customFormat="false" ht="15" hidden="false" customHeight="true" outlineLevel="0" collapsed="false">
      <c r="A39" s="11" t="s">
        <v>82</v>
      </c>
      <c r="B39" s="15" t="n">
        <v>800</v>
      </c>
      <c r="C39" s="3" t="s">
        <v>80</v>
      </c>
      <c r="D39" s="3"/>
    </row>
    <row r="40" customFormat="false" ht="15" hidden="false" customHeight="true" outlineLevel="0" collapsed="false">
      <c r="A40" s="11" t="s">
        <v>83</v>
      </c>
      <c r="B40" s="12" t="n">
        <v>28000</v>
      </c>
      <c r="C40" s="3" t="s">
        <v>78</v>
      </c>
      <c r="D40" s="3" t="s">
        <v>84</v>
      </c>
    </row>
    <row r="41" customFormat="false" ht="15" hidden="false" customHeight="true" outlineLevel="0" collapsed="false">
      <c r="A41" s="11" t="s">
        <v>85</v>
      </c>
      <c r="B41" s="12" t="n">
        <v>1000</v>
      </c>
      <c r="C41" s="3" t="s">
        <v>10</v>
      </c>
      <c r="D41" s="3"/>
    </row>
    <row r="42" customFormat="false" ht="15" hidden="false" customHeight="true" outlineLevel="0" collapsed="false">
      <c r="A42" s="11" t="s">
        <v>86</v>
      </c>
      <c r="B42" s="22" t="n">
        <v>802.33</v>
      </c>
      <c r="C42" s="3" t="s">
        <v>4</v>
      </c>
      <c r="D42" s="3" t="s">
        <v>87</v>
      </c>
    </row>
    <row r="43" customFormat="false" ht="15" hidden="false" customHeight="true" outlineLevel="0" collapsed="false">
      <c r="A43" s="11" t="s">
        <v>88</v>
      </c>
      <c r="B43" s="23" t="n">
        <v>1</v>
      </c>
      <c r="C43" s="3" t="s">
        <v>89</v>
      </c>
      <c r="D43" s="3"/>
    </row>
    <row r="45" customFormat="false" ht="15" hidden="false" customHeight="true" outlineLevel="0" collapsed="false">
      <c r="A45" s="4" t="s">
        <v>90</v>
      </c>
      <c r="B45" s="5"/>
      <c r="C45" s="5"/>
      <c r="D45" s="5"/>
      <c r="E45" s="5"/>
    </row>
    <row r="46" customFormat="false" ht="15" hidden="false" customHeight="true" outlineLevel="0" collapsed="false">
      <c r="A46" s="11" t="s">
        <v>91</v>
      </c>
      <c r="B46" s="22" t="n">
        <v>802.33</v>
      </c>
      <c r="C46" s="3" t="s">
        <v>92</v>
      </c>
      <c r="D46" s="3" t="s">
        <v>93</v>
      </c>
      <c r="E46" s="12" t="n">
        <v>1200</v>
      </c>
    </row>
    <row r="47" customFormat="false" ht="15" hidden="false" customHeight="true" outlineLevel="0" collapsed="false">
      <c r="A47" s="11" t="s">
        <v>94</v>
      </c>
      <c r="B47" s="24" t="n">
        <v>2855.99</v>
      </c>
      <c r="C47" s="3" t="s">
        <v>92</v>
      </c>
      <c r="D47" s="3" t="s">
        <v>95</v>
      </c>
      <c r="E47" s="12" t="n">
        <v>2400</v>
      </c>
    </row>
    <row r="48" customFormat="false" ht="15" hidden="false" customHeight="true" outlineLevel="0" collapsed="false">
      <c r="A48" s="11" t="s">
        <v>96</v>
      </c>
      <c r="B48" s="21" t="n">
        <f aca="false">B46*B9/E46</f>
        <v>702.03875</v>
      </c>
      <c r="C48" s="3" t="s">
        <v>7</v>
      </c>
      <c r="D48" s="3"/>
    </row>
    <row r="49" customFormat="false" ht="15" hidden="false" customHeight="true" outlineLevel="0" collapsed="false">
      <c r="A49" s="11" t="s">
        <v>97</v>
      </c>
      <c r="B49" s="21" t="n">
        <f aca="false">B47*B9/E47</f>
        <v>1249.495625</v>
      </c>
      <c r="C49" s="3" t="s">
        <v>7</v>
      </c>
      <c r="D4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4" min="3" style="1" width="11"/>
    <col collapsed="false" customWidth="true" hidden="false" outlineLevel="0" max="7" min="5" style="1" width="13"/>
    <col collapsed="false" customWidth="true" hidden="false" outlineLevel="0" max="8" min="8" style="1" width="46"/>
  </cols>
  <sheetData>
    <row r="1" customFormat="false" ht="19.5" hidden="false" customHeight="true" outlineLevel="0" collapsed="false">
      <c r="A1" s="2" t="s">
        <v>98</v>
      </c>
    </row>
    <row r="2" customFormat="false" ht="15" hidden="false" customHeight="true" outlineLevel="0" collapsed="false">
      <c r="A2" s="3" t="s">
        <v>99</v>
      </c>
    </row>
    <row r="4" customFormat="false" ht="23.25" hidden="false" customHeight="true" outlineLevel="0" collapsed="false">
      <c r="A4" s="25" t="s">
        <v>100</v>
      </c>
      <c r="B4" s="25" t="s">
        <v>101</v>
      </c>
      <c r="C4" s="25" t="s">
        <v>102</v>
      </c>
      <c r="D4" s="25" t="s">
        <v>103</v>
      </c>
      <c r="E4" s="25" t="s">
        <v>104</v>
      </c>
      <c r="F4" s="25" t="s">
        <v>105</v>
      </c>
      <c r="G4" s="25" t="s">
        <v>106</v>
      </c>
      <c r="H4" s="25" t="s">
        <v>107</v>
      </c>
    </row>
    <row r="5" customFormat="false" ht="15" hidden="false" customHeight="true" outlineLevel="0" collapsed="false">
      <c r="A5" s="26" t="s">
        <v>108</v>
      </c>
      <c r="B5" s="6" t="s">
        <v>109</v>
      </c>
      <c r="C5" s="27" t="n">
        <v>66</v>
      </c>
      <c r="D5" s="27" t="n">
        <v>66</v>
      </c>
      <c r="E5" s="28" t="n">
        <v>0.6</v>
      </c>
      <c r="F5" s="28" t="n">
        <v>0.6</v>
      </c>
      <c r="G5" s="10" t="n">
        <f aca="false">MP_SECA_IN</f>
        <v>26.4</v>
      </c>
      <c r="H5" s="8" t="s">
        <v>110</v>
      </c>
    </row>
    <row r="6" customFormat="false" ht="15" hidden="false" customHeight="true" outlineLevel="0" collapsed="false">
      <c r="A6" s="26" t="s">
        <v>111</v>
      </c>
      <c r="B6" s="6" t="s">
        <v>112</v>
      </c>
      <c r="C6" s="27" t="n">
        <v>66</v>
      </c>
      <c r="D6" s="27" t="n">
        <v>82.5</v>
      </c>
      <c r="E6" s="28" t="n">
        <v>0.6</v>
      </c>
      <c r="F6" s="28" t="n">
        <v>0.683</v>
      </c>
      <c r="G6" s="29" t="n">
        <f aca="false">G5*(1-PERDIDA)</f>
        <v>26.268</v>
      </c>
      <c r="H6" s="8" t="s">
        <v>113</v>
      </c>
    </row>
    <row r="7" customFormat="false" ht="15" hidden="false" customHeight="true" outlineLevel="0" collapsed="false">
      <c r="A7" s="26" t="s">
        <v>114</v>
      </c>
      <c r="B7" s="6" t="s">
        <v>115</v>
      </c>
      <c r="C7" s="27" t="n">
        <v>82.5</v>
      </c>
      <c r="D7" s="27" t="n">
        <v>82.5</v>
      </c>
      <c r="E7" s="28" t="n">
        <v>0.683</v>
      </c>
      <c r="F7" s="28" t="n">
        <v>0.683</v>
      </c>
      <c r="G7" s="29" t="n">
        <f aca="false">G6*(1-PERDIDA)</f>
        <v>26.13666</v>
      </c>
      <c r="H7" s="8" t="s">
        <v>116</v>
      </c>
    </row>
    <row r="8" customFormat="false" ht="15" hidden="false" customHeight="true" outlineLevel="0" collapsed="false">
      <c r="A8" s="26" t="s">
        <v>117</v>
      </c>
      <c r="B8" s="6" t="s">
        <v>118</v>
      </c>
      <c r="C8" s="27" t="n">
        <v>82.5</v>
      </c>
      <c r="D8" s="27" t="n">
        <v>43.56</v>
      </c>
      <c r="E8" s="28" t="n">
        <v>0.683</v>
      </c>
      <c r="F8" s="28" t="n">
        <v>0.4</v>
      </c>
      <c r="G8" s="29" t="n">
        <f aca="false">G7*(1-PERDIDA)</f>
        <v>26.0059767</v>
      </c>
      <c r="H8" s="8" t="s">
        <v>119</v>
      </c>
    </row>
    <row r="9" customFormat="false" ht="15" hidden="false" customHeight="true" outlineLevel="0" collapsed="false">
      <c r="A9" s="26" t="s">
        <v>120</v>
      </c>
      <c r="B9" s="6" t="s">
        <v>121</v>
      </c>
      <c r="C9" s="27" t="n">
        <v>82.5</v>
      </c>
      <c r="D9" s="27" t="n">
        <v>37.34</v>
      </c>
      <c r="E9" s="28" t="n">
        <v>0.685</v>
      </c>
      <c r="F9" s="28" t="n">
        <v>0.3</v>
      </c>
      <c r="G9" s="29" t="n">
        <f aca="false">G7*(1-PERDIDA)</f>
        <v>26.0059767</v>
      </c>
      <c r="H9" s="8" t="s">
        <v>122</v>
      </c>
    </row>
    <row r="10" customFormat="false" ht="15" hidden="false" customHeight="true" outlineLevel="0" collapsed="false">
      <c r="A10" s="26" t="s">
        <v>123</v>
      </c>
      <c r="B10" s="6" t="s">
        <v>124</v>
      </c>
      <c r="C10" s="27" t="n">
        <v>37.15</v>
      </c>
      <c r="D10" s="27" t="n">
        <v>28.9</v>
      </c>
      <c r="E10" s="28" t="n">
        <v>0.3</v>
      </c>
      <c r="F10" s="28" t="n">
        <v>0.1</v>
      </c>
      <c r="G10" s="29" t="n">
        <f aca="false">G8*(1-PERDIDA)</f>
        <v>25.8759468165</v>
      </c>
      <c r="H10" s="8" t="s">
        <v>125</v>
      </c>
    </row>
    <row r="11" customFormat="false" ht="15" hidden="false" customHeight="true" outlineLevel="0" collapsed="false">
      <c r="A11" s="26" t="s">
        <v>126</v>
      </c>
      <c r="B11" s="6" t="s">
        <v>127</v>
      </c>
      <c r="C11" s="27" t="n">
        <v>37.15</v>
      </c>
      <c r="D11" s="27" t="n">
        <v>28.9</v>
      </c>
      <c r="E11" s="28" t="n">
        <v>0.3</v>
      </c>
      <c r="F11" s="28" t="n">
        <v>0.1</v>
      </c>
      <c r="G11" s="29" t="n">
        <f aca="false">G8*(1-PERDIDA)</f>
        <v>25.8759468165</v>
      </c>
      <c r="H11" s="8" t="s">
        <v>128</v>
      </c>
    </row>
    <row r="12" customFormat="false" ht="15" hidden="false" customHeight="true" outlineLevel="0" collapsed="false">
      <c r="A12" s="26" t="s">
        <v>129</v>
      </c>
      <c r="B12" s="6" t="s">
        <v>130</v>
      </c>
      <c r="C12" s="27" t="n">
        <v>28.75</v>
      </c>
      <c r="D12" s="27" t="n">
        <v>28.13</v>
      </c>
      <c r="E12" s="28" t="n">
        <v>0.1</v>
      </c>
      <c r="F12" s="28" t="n">
        <v>0.08</v>
      </c>
      <c r="G12" s="29" t="n">
        <f aca="false">G10*(1-PERDIDA)</f>
        <v>25.7465670824175</v>
      </c>
      <c r="H12" s="8"/>
    </row>
    <row r="13" customFormat="false" ht="15" hidden="false" customHeight="true" outlineLevel="0" collapsed="false">
      <c r="A13" s="26" t="s">
        <v>131</v>
      </c>
      <c r="B13" s="6" t="s">
        <v>132</v>
      </c>
      <c r="C13" s="27" t="n">
        <v>27.99</v>
      </c>
      <c r="D13" s="27" t="n">
        <v>27.99</v>
      </c>
      <c r="E13" s="28" t="n">
        <v>0.08</v>
      </c>
      <c r="F13" s="28" t="n">
        <v>0.08</v>
      </c>
      <c r="G13" s="29" t="n">
        <f aca="false">G12*(1-PERDIDA)</f>
        <v>25.6178342470054</v>
      </c>
      <c r="H13" s="8"/>
    </row>
    <row r="14" customFormat="false" ht="15" hidden="false" customHeight="true" outlineLevel="0" collapsed="false">
      <c r="A14" s="26" t="s">
        <v>133</v>
      </c>
      <c r="B14" s="6" t="s">
        <v>134</v>
      </c>
      <c r="C14" s="27" t="n">
        <v>27.85</v>
      </c>
      <c r="D14" s="27" t="n">
        <v>27.845472</v>
      </c>
      <c r="E14" s="28" t="n">
        <v>0.08</v>
      </c>
      <c r="F14" s="28" t="n">
        <v>0.08</v>
      </c>
      <c r="G14" s="29" t="n">
        <f aca="false">G13*(1-PERDIDA)</f>
        <v>25.4897450757704</v>
      </c>
      <c r="H14" s="8" t="s">
        <v>135</v>
      </c>
    </row>
    <row r="15" customFormat="false" ht="15" hidden="false" customHeight="true" outlineLevel="0" collapsed="false">
      <c r="A15" s="26" t="s">
        <v>136</v>
      </c>
      <c r="B15" s="6" t="s">
        <v>137</v>
      </c>
      <c r="C15" s="27" t="n">
        <v>27.71</v>
      </c>
      <c r="D15" s="27" t="n">
        <v>28.32</v>
      </c>
      <c r="E15" s="28" t="n">
        <v>0.08</v>
      </c>
      <c r="F15" s="28" t="n">
        <v>0.1</v>
      </c>
      <c r="G15" s="29" t="n">
        <f aca="false">G13*(1-PERDIDA)</f>
        <v>25.4897450757704</v>
      </c>
      <c r="H15" s="8" t="s">
        <v>138</v>
      </c>
    </row>
    <row r="16" customFormat="false" ht="15" hidden="false" customHeight="true" outlineLevel="0" collapsed="false">
      <c r="A16" s="26" t="s">
        <v>139</v>
      </c>
      <c r="B16" s="6" t="s">
        <v>140</v>
      </c>
      <c r="C16" s="27" t="n">
        <v>28.32</v>
      </c>
      <c r="D16" s="27" t="n">
        <v>28.32</v>
      </c>
      <c r="E16" s="28" t="n">
        <v>0.08</v>
      </c>
      <c r="F16" s="28" t="n">
        <v>0.08</v>
      </c>
      <c r="G16" s="29" t="n">
        <f aca="false">G14*(1-PERDIDA)</f>
        <v>25.3622963503915</v>
      </c>
      <c r="H16" s="8" t="s">
        <v>141</v>
      </c>
    </row>
    <row r="18" customFormat="false" ht="15" hidden="false" customHeight="true" outlineLevel="0" collapsed="false">
      <c r="F18" s="30" t="s">
        <v>142</v>
      </c>
      <c r="G18" s="31" t="n">
        <f aca="false">G16</f>
        <v>25.3622963503915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12"/>
    <col collapsed="false" customWidth="true" hidden="false" outlineLevel="0" max="13" min="12" style="1" width="14"/>
    <col collapsed="false" customWidth="true" hidden="false" outlineLevel="0" max="14" min="14" style="1" width="9"/>
    <col collapsed="false" customWidth="true" hidden="false" outlineLevel="0" max="15" min="15" style="1" width="14"/>
  </cols>
  <sheetData>
    <row r="1" customFormat="false" ht="19.5" hidden="false" customHeight="true" outlineLevel="0" collapsed="false">
      <c r="A1" s="2" t="s">
        <v>143</v>
      </c>
    </row>
    <row r="2" customFormat="false" ht="15" hidden="false" customHeight="true" outlineLevel="0" collapsed="false">
      <c r="A2" s="3" t="s">
        <v>144</v>
      </c>
    </row>
    <row r="4" customFormat="false" ht="23.25" hidden="false" customHeight="true" outlineLevel="0" collapsed="false">
      <c r="A4" s="25" t="s">
        <v>100</v>
      </c>
      <c r="B4" s="25" t="s">
        <v>101</v>
      </c>
      <c r="C4" s="25" t="s">
        <v>145</v>
      </c>
      <c r="D4" s="25" t="s">
        <v>146</v>
      </c>
      <c r="E4" s="25" t="s">
        <v>147</v>
      </c>
      <c r="F4" s="25" t="s">
        <v>29</v>
      </c>
      <c r="G4" s="25" t="s">
        <v>148</v>
      </c>
      <c r="H4" s="25" t="s">
        <v>149</v>
      </c>
      <c r="I4" s="25" t="s">
        <v>150</v>
      </c>
      <c r="J4" s="25" t="s">
        <v>151</v>
      </c>
      <c r="K4" s="25" t="s">
        <v>152</v>
      </c>
      <c r="L4" s="25" t="s">
        <v>153</v>
      </c>
      <c r="M4" s="25" t="s">
        <v>154</v>
      </c>
      <c r="N4" s="25" t="s">
        <v>155</v>
      </c>
      <c r="O4" s="25" t="s">
        <v>156</v>
      </c>
    </row>
    <row r="5" customFormat="false" ht="15" hidden="false" customHeight="true" outlineLevel="0" collapsed="false">
      <c r="A5" s="26" t="s">
        <v>108</v>
      </c>
      <c r="B5" s="6" t="s">
        <v>109</v>
      </c>
      <c r="C5" s="7" t="n">
        <f aca="false">(H_LAB*1+H_RECEP*1)*CAMIONES</f>
        <v>46875</v>
      </c>
      <c r="D5" s="32" t="n">
        <v>0</v>
      </c>
      <c r="E5" s="33" t="n">
        <f aca="false">D5*HORAS_DIA*TARIFA_KWH</f>
        <v>0</v>
      </c>
      <c r="F5" s="7" t="n">
        <f aca="false">AGUA_LIMP_M3*AGUA_TOTAL</f>
        <v>1750</v>
      </c>
      <c r="G5" s="34" t="n">
        <f aca="false">DESINF</f>
        <v>802.33</v>
      </c>
      <c r="H5" s="7" t="n">
        <f aca="false">H_OP*1</f>
        <v>6250</v>
      </c>
      <c r="I5" s="33" t="n">
        <f aca="false">3*MUESTRA</f>
        <v>4500</v>
      </c>
      <c r="J5" s="33" t="n">
        <v>0</v>
      </c>
      <c r="K5" s="35" t="n">
        <v>0</v>
      </c>
      <c r="L5" s="36" t="n">
        <f aca="false">SUM(C5,E5:K5)</f>
        <v>60177.33</v>
      </c>
      <c r="M5" s="37" t="n">
        <v>60177.33</v>
      </c>
      <c r="N5" s="38" t="n">
        <f aca="false">L5-M5</f>
        <v>0</v>
      </c>
      <c r="O5" s="33" t="n">
        <f aca="false">L5/'FLUJO MASA'!G5</f>
        <v>2279.44431818182</v>
      </c>
    </row>
    <row r="6" customFormat="false" ht="15" hidden="false" customHeight="true" outlineLevel="0" collapsed="false">
      <c r="A6" s="26" t="s">
        <v>111</v>
      </c>
      <c r="B6" s="6" t="s">
        <v>112</v>
      </c>
      <c r="C6" s="7" t="n">
        <f aca="false">H_OP*1+H_LAB*0.25</f>
        <v>8593.75</v>
      </c>
      <c r="D6" s="32" t="n">
        <v>13.2</v>
      </c>
      <c r="E6" s="33" t="n">
        <f aca="false">D6*HORAS_DIA*TARIFA_KWH</f>
        <v>57024</v>
      </c>
      <c r="F6" s="7" t="n">
        <f aca="false">AGUA_LIMP_M3*AGUA_TOTAL+TON_MMPP*AGUA_EST*AGUA_M3</f>
        <v>14950</v>
      </c>
      <c r="G6" s="34" t="n">
        <f aca="false">DESINF</f>
        <v>802.33</v>
      </c>
      <c r="H6" s="7" t="n">
        <f aca="false">H_OP*1</f>
        <v>6250</v>
      </c>
      <c r="I6" s="33" t="n">
        <f aca="false">1*MUESTRA</f>
        <v>1500</v>
      </c>
      <c r="J6" s="33" t="n">
        <v>0</v>
      </c>
      <c r="K6" s="35" t="n">
        <v>6885.17</v>
      </c>
      <c r="L6" s="36" t="n">
        <f aca="false">SUM(C6,E6:K6)</f>
        <v>96005.25</v>
      </c>
      <c r="M6" s="37" t="n">
        <v>96005.25</v>
      </c>
      <c r="N6" s="38" t="n">
        <f aca="false">L6-M6</f>
        <v>0</v>
      </c>
      <c r="O6" s="33" t="n">
        <f aca="false">L6/'FLUJO MASA'!G6</f>
        <v>3654.83668341709</v>
      </c>
    </row>
    <row r="7" customFormat="false" ht="15" hidden="false" customHeight="true" outlineLevel="0" collapsed="false">
      <c r="A7" s="26" t="s">
        <v>114</v>
      </c>
      <c r="B7" s="6" t="s">
        <v>115</v>
      </c>
      <c r="C7" s="7" t="n">
        <f aca="false">(H_OP*1+H_SUP*1)*CAMIONES</f>
        <v>46875</v>
      </c>
      <c r="D7" s="32" t="n">
        <v>14</v>
      </c>
      <c r="E7" s="33" t="n">
        <f aca="false">D7*HORAS_DIA*TARIFA_KWH</f>
        <v>60480</v>
      </c>
      <c r="F7" s="7" t="n">
        <f aca="false">AGUA_LIMP_M3*AGUA_TOTAL</f>
        <v>1750</v>
      </c>
      <c r="G7" s="34" t="n">
        <f aca="false">DESINF</f>
        <v>802.33</v>
      </c>
      <c r="H7" s="7" t="n">
        <f aca="false">H_OP*1</f>
        <v>6250</v>
      </c>
      <c r="I7" s="33" t="n">
        <v>0</v>
      </c>
      <c r="J7" s="33" t="n">
        <f aca="false">(ELEC_TON+CAM_TON)*TON_PROCESO</f>
        <v>161001.5859375</v>
      </c>
      <c r="K7" s="35" t="n">
        <v>0</v>
      </c>
      <c r="L7" s="36" t="n">
        <f aca="false">SUM(C7,E7:K7)</f>
        <v>277158.9159375</v>
      </c>
      <c r="M7" s="37" t="n">
        <v>277158.92</v>
      </c>
      <c r="N7" s="38" t="n">
        <f aca="false">L7-M7</f>
        <v>-0.00406249996740371</v>
      </c>
      <c r="O7" s="33" t="n">
        <f aca="false">L7/'FLUJO MASA'!G7</f>
        <v>10604.2208888779</v>
      </c>
    </row>
    <row r="8" customFormat="false" ht="15" hidden="false" customHeight="true" outlineLevel="0" collapsed="false">
      <c r="A8" s="26" t="s">
        <v>117</v>
      </c>
      <c r="B8" s="6" t="s">
        <v>118</v>
      </c>
      <c r="C8" s="7" t="n">
        <f aca="false">H_OP*6</f>
        <v>37500</v>
      </c>
      <c r="D8" s="32" t="n">
        <v>24</v>
      </c>
      <c r="E8" s="33" t="n">
        <f aca="false">D8*HORAS_DIA*TARIFA_KWH</f>
        <v>103680</v>
      </c>
      <c r="F8" s="7" t="n">
        <f aca="false">AGUA_LIMP_M3*AGUA_TOTAL</f>
        <v>1750</v>
      </c>
      <c r="G8" s="34" t="n">
        <f aca="false">DESINF</f>
        <v>802.33</v>
      </c>
      <c r="H8" s="7" t="n">
        <f aca="false">H_OP*1</f>
        <v>6250</v>
      </c>
      <c r="I8" s="33" t="n">
        <v>0</v>
      </c>
      <c r="J8" s="33" t="n">
        <v>0</v>
      </c>
      <c r="K8" s="35" t="n">
        <v>0</v>
      </c>
      <c r="L8" s="36" t="n">
        <f aca="false">SUM(C8,E8:K8)</f>
        <v>149982.33</v>
      </c>
      <c r="M8" s="37" t="n">
        <v>149982.33</v>
      </c>
      <c r="N8" s="38" t="n">
        <f aca="false">L8-M8</f>
        <v>0</v>
      </c>
      <c r="O8" s="33" t="n">
        <f aca="false">L8/'FLUJO MASA'!G8</f>
        <v>5767.22542399263</v>
      </c>
    </row>
    <row r="9" customFormat="false" ht="15" hidden="false" customHeight="true" outlineLevel="0" collapsed="false">
      <c r="A9" s="26" t="s">
        <v>120</v>
      </c>
      <c r="B9" s="6" t="s">
        <v>121</v>
      </c>
      <c r="C9" s="7" t="n">
        <f aca="false">H_OP*6</f>
        <v>37500</v>
      </c>
      <c r="D9" s="32" t="n">
        <v>21.6</v>
      </c>
      <c r="E9" s="33" t="n">
        <f aca="false">D9*HORAS_DIA*TARIFA_KWH</f>
        <v>93312</v>
      </c>
      <c r="F9" s="7" t="n">
        <f aca="false">AGUA_LIMP_M3*AGUA_TOTAL</f>
        <v>1750</v>
      </c>
      <c r="G9" s="34" t="n">
        <f aca="false">DESINF</f>
        <v>802.33</v>
      </c>
      <c r="H9" s="7" t="n">
        <f aca="false">H_OP*1</f>
        <v>6250</v>
      </c>
      <c r="I9" s="33" t="n">
        <v>0</v>
      </c>
      <c r="J9" s="33" t="n">
        <v>0</v>
      </c>
      <c r="K9" s="35" t="n">
        <v>0</v>
      </c>
      <c r="L9" s="36" t="n">
        <f aca="false">SUM(C9,E9:K9)</f>
        <v>139614.33</v>
      </c>
      <c r="M9" s="37" t="n">
        <v>139614.33</v>
      </c>
      <c r="N9" s="38" t="n">
        <f aca="false">L9-M9</f>
        <v>0</v>
      </c>
      <c r="O9" s="33" t="n">
        <f aca="false">L9/'FLUJO MASA'!G9</f>
        <v>5368.54783846669</v>
      </c>
    </row>
    <row r="10" customFormat="false" ht="15" hidden="false" customHeight="true" outlineLevel="0" collapsed="false">
      <c r="A10" s="26" t="s">
        <v>123</v>
      </c>
      <c r="B10" s="6" t="s">
        <v>124</v>
      </c>
      <c r="C10" s="7" t="n">
        <f aca="false">H_OP*6</f>
        <v>37500</v>
      </c>
      <c r="D10" s="32" t="n">
        <v>80</v>
      </c>
      <c r="E10" s="33" t="n">
        <f aca="false">D10*HORAS_DIA*TARIFA_KWH</f>
        <v>345600</v>
      </c>
      <c r="F10" s="7" t="n">
        <f aca="false">AGUA_LIMP_M3*AGUA_TOTAL</f>
        <v>1750</v>
      </c>
      <c r="G10" s="34" t="n">
        <f aca="false">DESINF</f>
        <v>802.33</v>
      </c>
      <c r="H10" s="7" t="n">
        <f aca="false">H_OP*1</f>
        <v>6250</v>
      </c>
      <c r="I10" s="33" t="n">
        <v>0</v>
      </c>
      <c r="J10" s="33" t="n">
        <v>0</v>
      </c>
      <c r="K10" s="35" t="n">
        <v>0</v>
      </c>
      <c r="L10" s="36" t="n">
        <f aca="false">SUM(C10,E10:K10)</f>
        <v>391902.33</v>
      </c>
      <c r="M10" s="37" t="n">
        <v>391902.33</v>
      </c>
      <c r="N10" s="38" t="n">
        <f aca="false">L10-M10</f>
        <v>0</v>
      </c>
      <c r="O10" s="33" t="n">
        <f aca="false">L10/'FLUJO MASA'!G10</f>
        <v>15145.4295674352</v>
      </c>
    </row>
    <row r="11" customFormat="false" ht="15" hidden="false" customHeight="true" outlineLevel="0" collapsed="false">
      <c r="A11" s="26" t="s">
        <v>126</v>
      </c>
      <c r="B11" s="6" t="s">
        <v>127</v>
      </c>
      <c r="C11" s="7" t="n">
        <f aca="false">H_OP*6</f>
        <v>37500</v>
      </c>
      <c r="D11" s="32" t="n">
        <v>10</v>
      </c>
      <c r="E11" s="33" t="n">
        <f aca="false">D11*HORAS_DIA*TARIFA_KWH</f>
        <v>43200</v>
      </c>
      <c r="F11" s="7" t="n">
        <f aca="false">AGUA_LIMP_M3*AGUA_TOTAL</f>
        <v>1750</v>
      </c>
      <c r="G11" s="34" t="n">
        <f aca="false">DESINF</f>
        <v>802.33</v>
      </c>
      <c r="H11" s="7" t="n">
        <f aca="false">H_OP*1</f>
        <v>6250</v>
      </c>
      <c r="I11" s="33" t="n">
        <v>0</v>
      </c>
      <c r="J11" s="33" t="n">
        <v>0</v>
      </c>
      <c r="K11" s="35" t="n">
        <v>0</v>
      </c>
      <c r="L11" s="36" t="n">
        <f aca="false">SUM(C11,E11:K11)</f>
        <v>89502.33</v>
      </c>
      <c r="M11" s="37" t="n">
        <v>89502.33</v>
      </c>
      <c r="N11" s="38" t="n">
        <f aca="false">L11-M11</f>
        <v>0</v>
      </c>
      <c r="O11" s="33" t="n">
        <f aca="false">L11/'FLUJO MASA'!G11</f>
        <v>3458.9006784837</v>
      </c>
    </row>
    <row r="12" customFormat="false" ht="15" hidden="false" customHeight="true" outlineLevel="0" collapsed="false">
      <c r="A12" s="26" t="s">
        <v>129</v>
      </c>
      <c r="B12" s="6" t="s">
        <v>130</v>
      </c>
      <c r="C12" s="7" t="n">
        <f aca="false">H_OP*6</f>
        <v>37500</v>
      </c>
      <c r="D12" s="32" t="n">
        <v>10</v>
      </c>
      <c r="E12" s="33" t="n">
        <f aca="false">D12*HORAS_DIA*TARIFA_KWH</f>
        <v>43200</v>
      </c>
      <c r="F12" s="7" t="n">
        <f aca="false">AGUA_LIMP_M3*AGUA_TOTAL</f>
        <v>1750</v>
      </c>
      <c r="G12" s="34" t="n">
        <f aca="false">DESINF</f>
        <v>802.33</v>
      </c>
      <c r="H12" s="7" t="n">
        <f aca="false">H_OP*1</f>
        <v>6250</v>
      </c>
      <c r="I12" s="33" t="n">
        <v>0</v>
      </c>
      <c r="J12" s="33" t="n">
        <v>0</v>
      </c>
      <c r="K12" s="35" t="n">
        <v>0</v>
      </c>
      <c r="L12" s="36" t="n">
        <f aca="false">SUM(C12,E12:K12)</f>
        <v>89502.33</v>
      </c>
      <c r="M12" s="37" t="n">
        <v>89502.33</v>
      </c>
      <c r="N12" s="38" t="n">
        <f aca="false">L12-M12</f>
        <v>0</v>
      </c>
      <c r="O12" s="33" t="n">
        <f aca="false">L12/'FLUJO MASA'!G12</f>
        <v>3476.28208892834</v>
      </c>
    </row>
    <row r="13" customFormat="false" ht="15" hidden="false" customHeight="true" outlineLevel="0" collapsed="false">
      <c r="A13" s="26" t="s">
        <v>131</v>
      </c>
      <c r="B13" s="6" t="s">
        <v>132</v>
      </c>
      <c r="C13" s="7" t="n">
        <f aca="false">H_OP*6</f>
        <v>37500</v>
      </c>
      <c r="D13" s="32" t="n">
        <v>61.6</v>
      </c>
      <c r="E13" s="33" t="n">
        <f aca="false">D13*HORAS_DIA*TARIFA_KWH</f>
        <v>266112</v>
      </c>
      <c r="F13" s="7" t="n">
        <f aca="false">AGUA_LIMP_M3*AGUA_TOTAL</f>
        <v>1750</v>
      </c>
      <c r="G13" s="34" t="n">
        <f aca="false">DESINF</f>
        <v>802.33</v>
      </c>
      <c r="H13" s="7" t="n">
        <f aca="false">H_OP*1</f>
        <v>6250</v>
      </c>
      <c r="I13" s="33" t="n">
        <v>0</v>
      </c>
      <c r="J13" s="33" t="n">
        <v>0</v>
      </c>
      <c r="K13" s="35" t="n">
        <v>0</v>
      </c>
      <c r="L13" s="36" t="n">
        <f aca="false">SUM(C13,E13:K13)</f>
        <v>312414.33</v>
      </c>
      <c r="M13" s="37" t="n">
        <v>312414.33</v>
      </c>
      <c r="N13" s="38" t="n">
        <f aca="false">L13-M13</f>
        <v>0</v>
      </c>
      <c r="O13" s="33" t="n">
        <f aca="false">L13/'FLUJO MASA'!G13</f>
        <v>12195.1889838822</v>
      </c>
    </row>
    <row r="14" customFormat="false" ht="15" hidden="false" customHeight="true" outlineLevel="0" collapsed="false">
      <c r="A14" s="26" t="s">
        <v>133</v>
      </c>
      <c r="B14" s="6" t="s">
        <v>134</v>
      </c>
      <c r="C14" s="7" t="n">
        <f aca="false">H_OP*6</f>
        <v>37500</v>
      </c>
      <c r="D14" s="32" t="n">
        <v>4.48</v>
      </c>
      <c r="E14" s="33" t="n">
        <f aca="false">D14*HORAS_DIA*TARIFA_KWH</f>
        <v>19353.6</v>
      </c>
      <c r="F14" s="7" t="n">
        <f aca="false">AGUA_LIMP_M3*AGUA_TOTAL</f>
        <v>1750</v>
      </c>
      <c r="G14" s="34" t="n">
        <f aca="false">DESINF</f>
        <v>802.33</v>
      </c>
      <c r="H14" s="7" t="n">
        <f aca="false">H_OP*1</f>
        <v>6250</v>
      </c>
      <c r="I14" s="33" t="n">
        <f aca="false">1*MUESTRA</f>
        <v>1500</v>
      </c>
      <c r="J14" s="33" t="n">
        <f aca="false">'FLUJO MASA'!D14*1000/SACO_KG*SACO_CLP</f>
        <v>3341456.64</v>
      </c>
      <c r="K14" s="35" t="n">
        <v>0</v>
      </c>
      <c r="L14" s="36" t="n">
        <f aca="false">SUM(C14,E14:K14)</f>
        <v>3408612.57</v>
      </c>
      <c r="M14" s="37" t="n">
        <v>3408612.57</v>
      </c>
      <c r="N14" s="38" t="n">
        <f aca="false">L14-M14</f>
        <v>0</v>
      </c>
      <c r="O14" s="33" t="n">
        <f aca="false">L14/'FLUJO MASA'!G14</f>
        <v>133724.859148949</v>
      </c>
    </row>
    <row r="15" customFormat="false" ht="15" hidden="false" customHeight="true" outlineLevel="0" collapsed="false">
      <c r="A15" s="26" t="s">
        <v>136</v>
      </c>
      <c r="B15" s="6" t="s">
        <v>137</v>
      </c>
      <c r="C15" s="7" t="n">
        <f aca="false">H_OP*2</f>
        <v>12500</v>
      </c>
      <c r="D15" s="32" t="n">
        <v>4.48</v>
      </c>
      <c r="E15" s="33" t="n">
        <f aca="false">D15*HORAS_DIA*TARIFA_KWH</f>
        <v>19353.6</v>
      </c>
      <c r="F15" s="7" t="n">
        <f aca="false">AGUA_LIMP_M3*AGUA_TOTAL</f>
        <v>1750</v>
      </c>
      <c r="G15" s="34" t="n">
        <f aca="false">DESINF</f>
        <v>802.33</v>
      </c>
      <c r="H15" s="7" t="n">
        <f aca="false">H_OP*1</f>
        <v>6250</v>
      </c>
      <c r="I15" s="33" t="n">
        <f aca="false">1*MUESTRA</f>
        <v>1500</v>
      </c>
      <c r="J15" s="33" t="n">
        <f aca="false">379540.85*(MAXI_CLP/10000)</f>
        <v>379540.85</v>
      </c>
      <c r="K15" s="35" t="n">
        <v>25000</v>
      </c>
      <c r="L15" s="36" t="n">
        <f aca="false">SUM(C15,E15:K15)</f>
        <v>446696.78</v>
      </c>
      <c r="M15" s="37" t="n">
        <v>446696.78</v>
      </c>
      <c r="N15" s="38" t="n">
        <f aca="false">L15-M15</f>
        <v>0</v>
      </c>
      <c r="O15" s="33" t="n">
        <f aca="false">L15/'FLUJO MASA'!G15</f>
        <v>17524.5683576731</v>
      </c>
    </row>
    <row r="16" customFormat="false" ht="15" hidden="false" customHeight="true" outlineLevel="0" collapsed="false">
      <c r="A16" s="26" t="s">
        <v>139</v>
      </c>
      <c r="B16" s="6" t="s">
        <v>140</v>
      </c>
      <c r="C16" s="7" t="n">
        <f aca="false">H_OP*5+H_LAB*0.25</f>
        <v>33593.75</v>
      </c>
      <c r="D16" s="32" t="n">
        <v>5</v>
      </c>
      <c r="E16" s="33" t="n">
        <f aca="false">D16*HORAS_DIA*TARIFA_KWH</f>
        <v>21600</v>
      </c>
      <c r="F16" s="33" t="n">
        <v>0</v>
      </c>
      <c r="G16" s="38" t="n">
        <v>0</v>
      </c>
      <c r="H16" s="7" t="n">
        <f aca="false">H_OP*1</f>
        <v>6250</v>
      </c>
      <c r="I16" s="33" t="n">
        <f aca="false">2*MUESTRA</f>
        <v>3000</v>
      </c>
      <c r="J16" s="33" t="n">
        <v>0</v>
      </c>
      <c r="K16" s="35" t="n">
        <v>88414.06</v>
      </c>
      <c r="L16" s="36" t="n">
        <f aca="false">SUM(C16,E16:K16)</f>
        <v>152857.81</v>
      </c>
      <c r="M16" s="37" t="n">
        <v>152857.81</v>
      </c>
      <c r="N16" s="38" t="n">
        <f aca="false">L16-M16</f>
        <v>0</v>
      </c>
      <c r="O16" s="33" t="n">
        <f aca="false">L16/'FLUJO MASA'!G16</f>
        <v>6026.97042445213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5"/>
  </cols>
  <sheetData>
    <row r="1" customFormat="false" ht="19.5" hidden="false" customHeight="true" outlineLevel="0" collapsed="false">
      <c r="A1" s="2" t="s">
        <v>157</v>
      </c>
    </row>
    <row r="2" customFormat="false" ht="15" hidden="false" customHeight="true" outlineLevel="0" collapsed="false">
      <c r="A2" s="3" t="s">
        <v>158</v>
      </c>
    </row>
    <row r="4" customFormat="false" ht="23.25" hidden="false" customHeight="true" outlineLevel="0" collapsed="false">
      <c r="A4" s="25" t="s">
        <v>159</v>
      </c>
      <c r="B4" s="25" t="s">
        <v>160</v>
      </c>
      <c r="C4" s="25" t="s">
        <v>161</v>
      </c>
      <c r="D4" s="25" t="s">
        <v>162</v>
      </c>
      <c r="E4" s="25" t="s">
        <v>4</v>
      </c>
      <c r="F4" s="25" t="s">
        <v>156</v>
      </c>
      <c r="G4" s="25" t="s">
        <v>163</v>
      </c>
      <c r="H4" s="25" t="s">
        <v>10</v>
      </c>
    </row>
    <row r="5" customFormat="false" ht="15" hidden="false" customHeight="true" outlineLevel="0" collapsed="false">
      <c r="A5" s="26" t="s">
        <v>164</v>
      </c>
      <c r="B5" s="6" t="s">
        <v>165</v>
      </c>
      <c r="C5" s="6" t="s">
        <v>166</v>
      </c>
      <c r="D5" s="6" t="s">
        <v>77</v>
      </c>
      <c r="E5" s="7" t="n">
        <f aca="false">'COSTOS ETAPAS'!L5+'COSTOS ETAPAS'!L6+'COSTOS ETAPAS'!L7+'COSTOS ETAPAS'!L12+'COSTOS ETAPAS'!L13+'COSTOS ETAPAS'!L16+'COSTOS ETAPAS'!L8+'COSTOS ETAPAS'!L10+'COSTOS ETAPAS'!L14</f>
        <v>4938613.1959375</v>
      </c>
      <c r="F5" s="33" t="n">
        <f aca="false">E5/MP_SECA_FIN</f>
        <v>194722.635825571</v>
      </c>
      <c r="G5" s="38" t="n">
        <f aca="false">F5/1000</f>
        <v>194.722635825571</v>
      </c>
      <c r="H5" s="33" t="n">
        <f aca="false">E5*DIAS_MES</f>
        <v>149654945.331439</v>
      </c>
    </row>
    <row r="6" customFormat="false" ht="15" hidden="false" customHeight="true" outlineLevel="0" collapsed="false">
      <c r="A6" s="26" t="s">
        <v>167</v>
      </c>
      <c r="B6" s="6" t="s">
        <v>165</v>
      </c>
      <c r="C6" s="6" t="s">
        <v>166</v>
      </c>
      <c r="D6" s="6" t="s">
        <v>81</v>
      </c>
      <c r="E6" s="7" t="n">
        <f aca="false">'COSTOS ETAPAS'!L5+'COSTOS ETAPAS'!L6+'COSTOS ETAPAS'!L7+'COSTOS ETAPAS'!L12+'COSTOS ETAPAS'!L13+'COSTOS ETAPAS'!L16+'COSTOS ETAPAS'!L8+'COSTOS ETAPAS'!L10+'COSTOS ETAPAS'!L15</f>
        <v>1976697.4059375</v>
      </c>
      <c r="F6" s="33" t="n">
        <f aca="false">E6/MP_SECA_FIN</f>
        <v>77938.423975043</v>
      </c>
      <c r="G6" s="38" t="n">
        <f aca="false">F6/1000</f>
        <v>77.938423975043</v>
      </c>
      <c r="H6" s="33" t="n">
        <f aca="false">E6*DIAS_MES</f>
        <v>59899921.3920455</v>
      </c>
    </row>
    <row r="7" customFormat="false" ht="15" hidden="false" customHeight="true" outlineLevel="0" collapsed="false">
      <c r="A7" s="6" t="s">
        <v>168</v>
      </c>
      <c r="B7" s="6" t="s">
        <v>165</v>
      </c>
      <c r="C7" s="6" t="s">
        <v>169</v>
      </c>
      <c r="D7" s="6" t="s">
        <v>77</v>
      </c>
      <c r="E7" s="7" t="n">
        <f aca="false">'COSTOS ETAPAS'!L5+'COSTOS ETAPAS'!L6+'COSTOS ETAPAS'!L7+'COSTOS ETAPAS'!L12+'COSTOS ETAPAS'!L13+'COSTOS ETAPAS'!L16+'COSTOS ETAPAS'!L8+'COSTOS ETAPAS'!L11+'COSTOS ETAPAS'!L14</f>
        <v>4636213.1959375</v>
      </c>
      <c r="F7" s="33" t="n">
        <f aca="false">E7/MP_SECA_FIN</f>
        <v>182799.425252593</v>
      </c>
      <c r="G7" s="38" t="n">
        <f aca="false">F7/1000</f>
        <v>182.799425252593</v>
      </c>
      <c r="H7" s="33" t="n">
        <f aca="false">E7*DIAS_MES</f>
        <v>140491308.967803</v>
      </c>
    </row>
    <row r="8" customFormat="false" ht="15" hidden="false" customHeight="true" outlineLevel="0" collapsed="false">
      <c r="A8" s="6" t="s">
        <v>170</v>
      </c>
      <c r="B8" s="6" t="s">
        <v>165</v>
      </c>
      <c r="C8" s="6" t="s">
        <v>169</v>
      </c>
      <c r="D8" s="6" t="s">
        <v>81</v>
      </c>
      <c r="E8" s="7" t="n">
        <f aca="false">'COSTOS ETAPAS'!L5+'COSTOS ETAPAS'!L6+'COSTOS ETAPAS'!L7+'COSTOS ETAPAS'!L12+'COSTOS ETAPAS'!L13+'COSTOS ETAPAS'!L16+'COSTOS ETAPAS'!L8+'COSTOS ETAPAS'!L11+'COSTOS ETAPAS'!L15</f>
        <v>1674297.4059375</v>
      </c>
      <c r="F8" s="33" t="n">
        <f aca="false">E8/MP_SECA_FIN</f>
        <v>66015.2134020646</v>
      </c>
      <c r="G8" s="38" t="n">
        <f aca="false">F8/1000</f>
        <v>66.0152134020646</v>
      </c>
      <c r="H8" s="33" t="n">
        <f aca="false">E8*DIAS_MES</f>
        <v>50736285.0284091</v>
      </c>
    </row>
    <row r="9" customFormat="false" ht="15" hidden="false" customHeight="true" outlineLevel="0" collapsed="false">
      <c r="A9" s="6" t="s">
        <v>171</v>
      </c>
      <c r="B9" s="6" t="s">
        <v>172</v>
      </c>
      <c r="C9" s="6" t="s">
        <v>169</v>
      </c>
      <c r="D9" s="6" t="s">
        <v>81</v>
      </c>
      <c r="E9" s="7" t="n">
        <f aca="false">'COSTOS ETAPAS'!L5+'COSTOS ETAPAS'!L6+'COSTOS ETAPAS'!L7+'COSTOS ETAPAS'!L12+'COSTOS ETAPAS'!L13+'COSTOS ETAPAS'!L16+'COSTOS ETAPAS'!L9+'COSTOS ETAPAS'!L11+'COSTOS ETAPAS'!L15</f>
        <v>1663929.4059375</v>
      </c>
      <c r="F9" s="33" t="n">
        <f aca="false">E9/MP_SECA_FIN</f>
        <v>65606.417610991</v>
      </c>
      <c r="G9" s="38" t="n">
        <f aca="false">F9/1000</f>
        <v>65.606417610991</v>
      </c>
      <c r="H9" s="33" t="n">
        <f aca="false">E9*DIAS_MES</f>
        <v>50422103.2102273</v>
      </c>
    </row>
    <row r="11" customFormat="false" ht="15" hidden="false" customHeight="true" outlineLevel="0" collapsed="false">
      <c r="A11" s="4" t="s">
        <v>173</v>
      </c>
      <c r="B11" s="5"/>
      <c r="C11" s="5"/>
      <c r="D11" s="5"/>
      <c r="E11" s="5"/>
      <c r="F11" s="5"/>
      <c r="G11" s="5"/>
      <c r="H11" s="5"/>
    </row>
    <row r="12" customFormat="false" ht="15" hidden="false" customHeight="true" outlineLevel="0" collapsed="false">
      <c r="A12" s="11" t="s">
        <v>174</v>
      </c>
      <c r="E12" s="14" t="n">
        <f aca="false">E5-E6</f>
        <v>2961915.79</v>
      </c>
    </row>
    <row r="13" customFormat="false" ht="15" hidden="false" customHeight="true" outlineLevel="0" collapsed="false">
      <c r="A13" s="11" t="s">
        <v>175</v>
      </c>
      <c r="E13" s="14" t="n">
        <f aca="false">(E5-E6)*DIAS_MES</f>
        <v>89755023.9393939</v>
      </c>
    </row>
    <row r="14" customFormat="false" ht="15" hidden="false" customHeight="true" outlineLevel="0" collapsed="false">
      <c r="A14" s="11" t="s">
        <v>176</v>
      </c>
      <c r="E14" s="39" t="n">
        <f aca="false">E5/E6</f>
        <v>2.49841638942974</v>
      </c>
    </row>
    <row r="15" customFormat="false" ht="15" hidden="false" customHeight="true" outlineLevel="0" collapsed="false">
      <c r="A15" s="11" t="s">
        <v>177</v>
      </c>
      <c r="E15" s="14" t="n">
        <f aca="false">E5-E7</f>
        <v>302400</v>
      </c>
    </row>
    <row r="17" customFormat="false" ht="15" hidden="false" customHeight="true" outlineLevel="0" collapsed="false">
      <c r="A17" s="3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56"/>
    <col collapsed="false" customWidth="true" hidden="false" outlineLevel="0" max="4" min="4" style="1" width="34"/>
    <col collapsed="false" customWidth="true" hidden="false" outlineLevel="0" max="5" min="5" style="1" width="18"/>
    <col collapsed="false" customWidth="true" hidden="false" outlineLevel="0" max="6" min="6" style="1" width="12"/>
  </cols>
  <sheetData>
    <row r="1" customFormat="false" ht="19.5" hidden="false" customHeight="true" outlineLevel="0" collapsed="false">
      <c r="A1" s="2" t="s">
        <v>179</v>
      </c>
    </row>
    <row r="2" customFormat="false" ht="15" hidden="false" customHeight="true" outlineLevel="0" collapsed="false">
      <c r="A2" s="3" t="s">
        <v>180</v>
      </c>
    </row>
    <row r="4" customFormat="false" ht="15" hidden="false" customHeight="true" outlineLevel="0" collapsed="false">
      <c r="A4" s="25" t="s">
        <v>181</v>
      </c>
      <c r="B4" s="25" t="s">
        <v>182</v>
      </c>
      <c r="C4" s="25" t="s">
        <v>183</v>
      </c>
      <c r="D4" s="25" t="s">
        <v>184</v>
      </c>
      <c r="E4" s="25" t="s">
        <v>185</v>
      </c>
      <c r="F4" s="25" t="s">
        <v>186</v>
      </c>
    </row>
    <row r="5" customFormat="false" ht="23.25" hidden="false" customHeight="true" outlineLevel="0" collapsed="false">
      <c r="A5" s="40" t="n">
        <v>1</v>
      </c>
      <c r="B5" s="41" t="s">
        <v>187</v>
      </c>
      <c r="C5" s="40" t="s">
        <v>188</v>
      </c>
      <c r="D5" s="40" t="s">
        <v>189</v>
      </c>
      <c r="E5" s="40" t="s">
        <v>190</v>
      </c>
      <c r="F5" s="42" t="s">
        <v>191</v>
      </c>
    </row>
    <row r="6" customFormat="false" ht="15" hidden="false" customHeight="true" outlineLevel="0" collapsed="false">
      <c r="A6" s="40" t="n">
        <v>2</v>
      </c>
      <c r="B6" s="41" t="s">
        <v>192</v>
      </c>
      <c r="C6" s="40" t="s">
        <v>193</v>
      </c>
      <c r="D6" s="40" t="s">
        <v>194</v>
      </c>
      <c r="E6" s="40" t="s">
        <v>195</v>
      </c>
      <c r="F6" s="42" t="s">
        <v>191</v>
      </c>
    </row>
    <row r="7" customFormat="false" ht="15" hidden="false" customHeight="true" outlineLevel="0" collapsed="false">
      <c r="A7" s="40" t="n">
        <v>3</v>
      </c>
      <c r="B7" s="41" t="s">
        <v>196</v>
      </c>
      <c r="C7" s="40" t="s">
        <v>197</v>
      </c>
      <c r="D7" s="40" t="s">
        <v>198</v>
      </c>
      <c r="E7" s="40" t="s">
        <v>190</v>
      </c>
      <c r="F7" s="42" t="s">
        <v>191</v>
      </c>
    </row>
    <row r="8" customFormat="false" ht="23.25" hidden="false" customHeight="true" outlineLevel="0" collapsed="false">
      <c r="A8" s="40" t="n">
        <v>4</v>
      </c>
      <c r="B8" s="41" t="s">
        <v>199</v>
      </c>
      <c r="C8" s="40" t="s">
        <v>200</v>
      </c>
      <c r="D8" s="40" t="s">
        <v>201</v>
      </c>
      <c r="E8" s="40" t="s">
        <v>195</v>
      </c>
      <c r="F8" s="40" t="s">
        <v>202</v>
      </c>
    </row>
    <row r="9" customFormat="false" ht="23.25" hidden="false" customHeight="true" outlineLevel="0" collapsed="false">
      <c r="A9" s="40" t="n">
        <v>5</v>
      </c>
      <c r="B9" s="41" t="s">
        <v>203</v>
      </c>
      <c r="C9" s="40" t="s">
        <v>204</v>
      </c>
      <c r="D9" s="40" t="s">
        <v>205</v>
      </c>
      <c r="E9" s="40" t="s">
        <v>206</v>
      </c>
      <c r="F9" s="42" t="s">
        <v>191</v>
      </c>
    </row>
    <row r="10" customFormat="false" ht="23.25" hidden="false" customHeight="true" outlineLevel="0" collapsed="false">
      <c r="A10" s="40" t="n">
        <v>6</v>
      </c>
      <c r="B10" s="41" t="s">
        <v>207</v>
      </c>
      <c r="C10" s="40" t="s">
        <v>208</v>
      </c>
      <c r="D10" s="40" t="s">
        <v>209</v>
      </c>
      <c r="E10" s="40" t="s">
        <v>206</v>
      </c>
      <c r="F10" s="42" t="s">
        <v>191</v>
      </c>
    </row>
    <row r="11" customFormat="false" ht="23.25" hidden="false" customHeight="true" outlineLevel="0" collapsed="false">
      <c r="A11" s="40" t="n">
        <v>7</v>
      </c>
      <c r="B11" s="41" t="s">
        <v>210</v>
      </c>
      <c r="C11" s="40" t="s">
        <v>211</v>
      </c>
      <c r="D11" s="40" t="s">
        <v>212</v>
      </c>
      <c r="E11" s="40" t="s">
        <v>145</v>
      </c>
      <c r="F11" s="42" t="s">
        <v>191</v>
      </c>
    </row>
    <row r="12" customFormat="false" ht="23.25" hidden="false" customHeight="true" outlineLevel="0" collapsed="false">
      <c r="A12" s="40" t="n">
        <v>8</v>
      </c>
      <c r="B12" s="41" t="s">
        <v>213</v>
      </c>
      <c r="C12" s="40" t="s">
        <v>214</v>
      </c>
      <c r="D12" s="40" t="s">
        <v>215</v>
      </c>
      <c r="E12" s="40" t="s">
        <v>206</v>
      </c>
      <c r="F12" s="40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2026-07-03T15:06:50Z</dcterms:created>
  <dc:creator>openpyxl</dc:creator>
  <dc:description/>
  <dc:language>es-MX</dc:language>
  <cp:lastModifiedBy/>
  <dcterms:modified xsi:type="dcterms:W3CDTF">2026-07-03T15:22:10Z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
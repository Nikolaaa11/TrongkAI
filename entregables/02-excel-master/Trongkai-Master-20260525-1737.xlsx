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n 5 años" sheetId="2" state="visible" r:id="rId2"/>
    <sheet xmlns:r="http://schemas.openxmlformats.org/officeDocument/2006/relationships" name="Balance Masa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Escenarios" sheetId="5" state="visible" r:id="rId5"/>
    <sheet xmlns:r="http://schemas.openxmlformats.org/officeDocument/2006/relationships" name="Carbono LCA" sheetId="6" state="visible" r:id="rId6"/>
    <sheet xmlns:r="http://schemas.openxmlformats.org/officeDocument/2006/relationships" name="Compliance REP" sheetId="7" state="visible" r:id="rId7"/>
    <sheet xmlns:r="http://schemas.openxmlformats.org/officeDocument/2006/relationships" name="Macro Chile" sheetId="8" state="visible" r:id="rId8"/>
    <sheet xmlns:r="http://schemas.openxmlformats.org/officeDocument/2006/relationships" name="Supuestos" sheetId="9" state="visible" r:id="rId9"/>
    <sheet xmlns:r="http://schemas.openxmlformats.org/officeDocument/2006/relationships" name="Instru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6">
    <font>
      <name val="Calibri"/>
      <family val="2"/>
      <color theme="1"/>
      <sz val="11"/>
      <scheme val="minor"/>
    </font>
    <font>
      <name val="Calibri"/>
      <b val="1"/>
      <color rgb="001D1D1F"/>
      <sz val="20"/>
    </font>
    <font>
      <name val="Calibri"/>
      <color rgb="0086868B"/>
      <sz val="11"/>
    </font>
    <font>
      <name val="Calibri"/>
      <b val="1"/>
      <color rgb="0086868B"/>
      <sz val="10"/>
    </font>
    <font>
      <name val="Calibri"/>
      <b val="1"/>
      <color rgb="001A8A1A"/>
      <sz val="36"/>
    </font>
    <font>
      <name val="Calibri"/>
      <b val="1"/>
      <color rgb="001A8A1A"/>
      <sz val="14"/>
    </font>
    <font>
      <b val="1"/>
      <color rgb="001D1D1F"/>
      <sz val="14"/>
    </font>
    <font>
      <name val="Calibri"/>
      <b val="1"/>
      <color rgb="00FFFFFF"/>
      <sz val="10"/>
    </font>
    <font>
      <name val="Calibri"/>
      <color rgb="001D1D1F"/>
      <sz val="10"/>
    </font>
    <font>
      <name val="Calibri"/>
      <b val="1"/>
      <color rgb="001D1D1F"/>
      <sz val="10"/>
    </font>
    <font>
      <b val="1"/>
    </font>
    <font>
      <b val="1"/>
      <color rgb="001A8A1A"/>
      <sz val="11"/>
    </font>
    <font>
      <b val="1"/>
      <color rgb="00FFFFFF"/>
    </font>
    <font>
      <b val="1"/>
      <color rgb="001D1D1F"/>
    </font>
    <font>
      <name val="Calibri"/>
      <b val="1"/>
      <color rgb="001A8A1A"/>
      <sz val="12"/>
    </font>
    <font>
      <name val="Calibri"/>
      <color rgb="0086868B"/>
      <sz val="10"/>
    </font>
  </fonts>
  <fills count="7">
    <fill>
      <patternFill/>
    </fill>
    <fill>
      <patternFill patternType="gray125"/>
    </fill>
    <fill>
      <patternFill patternType="solid">
        <fgColor rgb="00EAF6EA"/>
      </patternFill>
    </fill>
    <fill>
      <patternFill patternType="solid">
        <fgColor rgb="001A8A1A"/>
      </patternFill>
    </fill>
    <fill>
      <patternFill patternType="solid">
        <fgColor rgb="00F5F5F7"/>
      </patternFill>
    </fill>
    <fill>
      <patternFill patternType="solid">
        <fgColor rgb="00FF9500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E8E8ED"/>
      </left>
      <right style="thin">
        <color rgb="00E8E8ED"/>
      </right>
      <top style="thin">
        <color rgb="00E8E8ED"/>
      </top>
      <bottom style="thin">
        <color rgb="00E8E8E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5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5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0" fontId="1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8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vs EBITDA vs CapEx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 5 años'!B4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años'!$B$5:$B$9</f>
            </numRef>
          </val>
        </ser>
        <ser>
          <idx val="1"/>
          <order val="1"/>
          <tx>
            <strRef>
              <f>'Plan 5 años'!C4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años'!$C$5:$C$9</f>
            </numRef>
          </val>
        </ser>
        <ser>
          <idx val="2"/>
          <order val="2"/>
          <tx>
            <strRef>
              <f>'Plan 5 años'!D4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'Plan 5 años'!$A$5:$A$9</f>
            </numRef>
          </cat>
          <val>
            <numRef>
              <f>'Plan 5 años'!$D$5:$D$9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MMPP</a:t>
            </a:r>
          </a:p>
        </rich>
      </tx>
    </title>
    <plotArea>
      <pieChart>
        <varyColors val="1"/>
        <ser>
          <idx val="0"/>
          <order val="0"/>
          <tx>
            <strRef>
              <f>'Balance Masa'!B4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'Balance Masa'!$A$5:$A$9</f>
            </numRef>
          </cat>
          <val>
            <numRef>
              <f>'Balance Masa'!$B$5:$B$9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Trongkai</t>
        </is>
      </c>
    </row>
    <row r="2">
      <c r="A2" s="2" t="inlineStr">
        <is>
          <t>Innovación en Nutrición Circular · Tearsheet ejecutivo</t>
        </is>
      </c>
    </row>
    <row r="3">
      <c r="A3" s="2" t="inlineStr">
        <is>
          <t>Generado: 25 May 2026, 17:37</t>
        </is>
      </c>
    </row>
    <row r="5">
      <c r="A5" s="3" t="inlineStr">
        <is>
          <t>TIR Proyecto</t>
        </is>
      </c>
      <c r="C5" s="3" t="inlineStr">
        <is>
          <t>VAN @ WACC 18%</t>
        </is>
      </c>
      <c r="E5" s="3" t="inlineStr">
        <is>
          <t>Payback</t>
        </is>
      </c>
      <c r="G5" s="3" t="inlineStr">
        <is>
          <t>EV exit 5y</t>
        </is>
      </c>
    </row>
    <row r="6">
      <c r="A6" s="4" t="inlineStr">
        <is>
          <t>30.73%</t>
        </is>
      </c>
      <c r="C6" s="4" t="inlineStr">
        <is>
          <t>$3.5B CLP</t>
        </is>
      </c>
      <c r="E6" s="4" t="inlineStr">
        <is>
          <t>54 meses</t>
        </is>
      </c>
      <c r="G6" s="4" t="inlineStr">
        <is>
          <t>$136B CLP</t>
        </is>
      </c>
    </row>
    <row r="9">
      <c r="A9" s="5" t="inlineStr">
        <is>
          <t>Investment Readiness Score: 76.5/100 — PROMETEDOR — requiere optimización en 1-2 dimensiones antes del cierre.</t>
        </is>
      </c>
    </row>
    <row r="11">
      <c r="A11" s="6" t="inlineStr">
        <is>
          <t>Score por dimensión</t>
        </is>
      </c>
    </row>
    <row r="12">
      <c r="A12" s="7" t="inlineStr">
        <is>
          <t>Dimensión</t>
        </is>
      </c>
      <c r="B12" s="7" t="inlineStr">
        <is>
          <t>Peso</t>
        </is>
      </c>
      <c r="C12" s="7" t="inlineStr">
        <is>
          <t>Score 0-100</t>
        </is>
      </c>
      <c r="D12" s="7" t="inlineStr">
        <is>
          <t>Aporte total</t>
        </is>
      </c>
      <c r="E12" s="7" t="inlineStr">
        <is>
          <t>Detalle</t>
        </is>
      </c>
    </row>
    <row r="13">
      <c r="A13" s="8" t="inlineStr">
        <is>
          <t>Retorno financiero</t>
        </is>
      </c>
      <c r="B13" s="8" t="inlineStr">
        <is>
          <t>18%</t>
        </is>
      </c>
      <c r="C13" s="8" t="n">
        <v>78.7</v>
      </c>
      <c r="D13" s="8" t="n">
        <v>14.2</v>
      </c>
      <c r="E13" s="8" t="inlineStr">
        <is>
          <t>TIR 30.7% (+15.7pp sobre hurdle)</t>
        </is>
      </c>
    </row>
    <row r="14">
      <c r="A14" s="8" t="inlineStr">
        <is>
          <t>Robustez Monte Carlo</t>
        </is>
      </c>
      <c r="B14" s="8" t="inlineStr">
        <is>
          <t>13%</t>
        </is>
      </c>
      <c r="C14" s="8" t="n">
        <v>76.5</v>
      </c>
      <c r="D14" s="8" t="n">
        <v>9.9</v>
      </c>
      <c r="E14" s="8" t="inlineStr">
        <is>
          <t>Prob(TIR&gt;WACC) = 76% en 1000+ sims</t>
        </is>
      </c>
    </row>
    <row r="15">
      <c r="A15" s="8" t="inlineStr">
        <is>
          <t>Bancabilidad DSCR</t>
        </is>
      </c>
      <c r="B15" s="8" t="inlineStr">
        <is>
          <t>12%</t>
        </is>
      </c>
      <c r="C15" s="8" t="n">
        <v>100</v>
      </c>
      <c r="D15" s="8" t="n">
        <v>12</v>
      </c>
      <c r="E15" s="8" t="inlineStr">
        <is>
          <t>DSCR 14.38 — bancable holgado</t>
        </is>
      </c>
    </row>
    <row r="16">
      <c r="A16" s="8" t="inlineStr">
        <is>
          <t>Diversificación marca</t>
        </is>
      </c>
      <c r="B16" s="8" t="inlineStr">
        <is>
          <t>8%</t>
        </is>
      </c>
      <c r="C16" s="8" t="n">
        <v>50</v>
      </c>
      <c r="D16" s="8" t="n">
        <v>4</v>
      </c>
      <c r="E16" s="8" t="inlineStr">
        <is>
          <t>Sin desglose por marca</t>
        </is>
      </c>
    </row>
    <row r="17">
      <c r="A17" s="8" t="inlineStr">
        <is>
          <t>ESG carbono</t>
        </is>
      </c>
      <c r="B17" s="8" t="inlineStr">
        <is>
          <t>10%</t>
        </is>
      </c>
      <c r="C17" s="8" t="n">
        <v>100</v>
      </c>
      <c r="D17" s="8" t="n">
        <v>10</v>
      </c>
      <c r="E17" s="8" t="inlineStr">
        <is>
          <t>Carbono negativo (-53,028 ton CO2eq 5y)</t>
        </is>
      </c>
    </row>
    <row r="18">
      <c r="A18" s="8" t="inlineStr">
        <is>
          <t>Compliance regulatorio</t>
        </is>
      </c>
      <c r="B18" s="8" t="inlineStr">
        <is>
          <t>8%</t>
        </is>
      </c>
      <c r="C18" s="8" t="n">
        <v>100</v>
      </c>
      <c r="D18" s="8" t="n">
        <v>8</v>
      </c>
      <c r="E18" s="8" t="inlineStr">
        <is>
          <t>Sin obligaciones pendientes</t>
        </is>
      </c>
    </row>
    <row r="19">
      <c r="A19" s="8" t="inlineStr">
        <is>
          <t>Resiliencia (break-even)</t>
        </is>
      </c>
      <c r="B19" s="8" t="inlineStr">
        <is>
          <t>8%</t>
        </is>
      </c>
      <c r="C19" s="8" t="n">
        <v>100</v>
      </c>
      <c r="D19" s="8" t="n">
        <v>8</v>
      </c>
      <c r="E19" s="8" t="inlineStr">
        <is>
          <t>Colchón promedio 73%</t>
        </is>
      </c>
    </row>
    <row r="20">
      <c r="A20" s="8" t="inlineStr">
        <is>
          <t>Madurez operativa</t>
        </is>
      </c>
      <c r="B20" s="8" t="inlineStr">
        <is>
          <t>8%</t>
        </is>
      </c>
      <c r="C20" s="8" t="n">
        <v>75</v>
      </c>
      <c r="D20" s="8" t="n">
        <v>6</v>
      </c>
      <c r="E20" s="8" t="inlineStr">
        <is>
          <t>EBITDA año 2 positivo (ramp-up año 1)</t>
        </is>
      </c>
    </row>
    <row r="21">
      <c r="A21" s="8" t="inlineStr">
        <is>
          <t>Calidad datos (matriz)</t>
        </is>
      </c>
      <c r="B21" s="8" t="inlineStr">
        <is>
          <t>8%</t>
        </is>
      </c>
      <c r="C21" s="8" t="n">
        <v>21.2</v>
      </c>
      <c r="D21" s="8" t="n">
        <v>1.7</v>
      </c>
      <c r="E21" s="8" t="inlineStr">
        <is>
          <t>0 validadas + 70 provisorias de 165 celdas</t>
        </is>
      </c>
    </row>
    <row r="22">
      <c r="A22" s="8" t="inlineStr">
        <is>
          <t>Avance Data Room DD</t>
        </is>
      </c>
      <c r="B22" s="8" t="inlineStr">
        <is>
          <t>7%</t>
        </is>
      </c>
      <c r="C22" s="8" t="n">
        <v>39</v>
      </c>
      <c r="D22" s="8" t="n">
        <v>2.7</v>
      </c>
      <c r="E22" s="8" t="inlineStr">
        <is>
          <t>11 completos + 10 parciales de 41 items DD</t>
        </is>
      </c>
    </row>
  </sheetData>
  <mergeCells count="9">
    <mergeCell ref="A9:H9"/>
    <mergeCell ref="E6:F6"/>
    <mergeCell ref="C6:D6"/>
    <mergeCell ref="C5:D5"/>
    <mergeCell ref="A5:B5"/>
    <mergeCell ref="G5:H5"/>
    <mergeCell ref="E5:F5"/>
    <mergeCell ref="G6:H6"/>
    <mergeCell ref="A6:B6"/>
  </mergeCells>
  <conditionalFormatting sqref="C13:C22">
    <cfRule type="colorScale" priority="1">
      <colorScale>
        <cfvo type="num" val="0"/>
        <cfvo type="num" val="50"/>
        <cfvo type="num" val="100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Plan 5 años — EERR anual</t>
        </is>
      </c>
    </row>
    <row r="2">
      <c r="A2" s="2" t="inlineStr">
        <is>
          <t>Ingresos / EBITDA / CapEx por año del proyecto</t>
        </is>
      </c>
    </row>
    <row r="4">
      <c r="A4" s="7" t="inlineStr">
        <is>
          <t>Año</t>
        </is>
      </c>
      <c r="B4" s="7" t="inlineStr">
        <is>
          <t>Ingresos (CLP)</t>
        </is>
      </c>
      <c r="C4" s="7" t="inlineStr">
        <is>
          <t>EBITDA (CLP)</t>
        </is>
      </c>
      <c r="D4" s="7" t="inlineStr">
        <is>
          <t>CapEx (CLP)</t>
        </is>
      </c>
      <c r="E4" s="7" t="inlineStr">
        <is>
          <t>EBITDA Margin</t>
        </is>
      </c>
      <c r="F4" s="7" t="inlineStr">
        <is>
          <t>Ratio CapEx/Ventas</t>
        </is>
      </c>
    </row>
    <row r="5">
      <c r="A5" s="8" t="n">
        <v>1</v>
      </c>
      <c r="B5" s="9" t="n">
        <v>3323260869.565217</v>
      </c>
      <c r="C5" s="9" t="n">
        <v>-114306521.7391305</v>
      </c>
      <c r="D5" s="9" t="n">
        <v>3000000000</v>
      </c>
      <c r="E5" s="10">
        <f>IFERROR(C5/B5, 0)</f>
        <v/>
      </c>
      <c r="F5" s="10">
        <f>IFERROR(D5/B5, 0)</f>
        <v/>
      </c>
    </row>
    <row r="6">
      <c r="A6" s="8" t="n">
        <v>2</v>
      </c>
      <c r="B6" s="9" t="n">
        <v>8398637362.637365</v>
      </c>
      <c r="C6" s="9" t="n">
        <v>2389112142.857144</v>
      </c>
      <c r="D6" s="9" t="n">
        <v>5000000000</v>
      </c>
      <c r="E6" s="10">
        <f>IFERROR(C6/B6, 0)</f>
        <v/>
      </c>
      <c r="F6" s="10">
        <f>IFERROR(D6/B6, 0)</f>
        <v/>
      </c>
    </row>
    <row r="7">
      <c r="A7" s="8" t="n">
        <v>3</v>
      </c>
      <c r="B7" s="9" t="n">
        <v>15543077839.21736</v>
      </c>
      <c r="C7" s="9" t="n">
        <v>6506400714.589538</v>
      </c>
      <c r="D7" s="9" t="n">
        <v>4000000000</v>
      </c>
      <c r="E7" s="10">
        <f>IFERROR(C7/B7, 0)</f>
        <v/>
      </c>
      <c r="F7" s="10">
        <f>IFERROR(D7/B7, 0)</f>
        <v/>
      </c>
    </row>
    <row r="8">
      <c r="A8" s="8" t="n">
        <v>4</v>
      </c>
      <c r="B8" s="9" t="n">
        <v>23404392958.54628</v>
      </c>
      <c r="C8" s="9" t="n">
        <v>11765001507.6661</v>
      </c>
      <c r="D8" s="9" t="n">
        <v>2000000000</v>
      </c>
      <c r="E8" s="10">
        <f>IFERROR(C8/B8, 0)</f>
        <v/>
      </c>
      <c r="F8" s="10">
        <f>IFERROR(D8/B8, 0)</f>
        <v/>
      </c>
    </row>
    <row r="9">
      <c r="A9" s="8" t="n">
        <v>5</v>
      </c>
      <c r="B9" s="9" t="n">
        <v>26764418341.0613</v>
      </c>
      <c r="C9" s="9" t="n">
        <v>14094746306.02782</v>
      </c>
      <c r="D9" s="9" t="n">
        <v>1000000000</v>
      </c>
      <c r="E9" s="10">
        <f>IFERROR(C9/B9, 0)</f>
        <v/>
      </c>
      <c r="F9" s="10">
        <f>IFERROR(D9/B9, 0)</f>
        <v/>
      </c>
    </row>
    <row r="10">
      <c r="A10" s="11" t="inlineStr">
        <is>
          <t>TOTAL</t>
        </is>
      </c>
      <c r="B10" s="12">
        <f>SUM(B5:B9)</f>
        <v/>
      </c>
      <c r="C10" s="12">
        <f>SUM(C5:C9)</f>
        <v/>
      </c>
      <c r="D10" s="12">
        <f>SUM(D5:D9)</f>
        <v/>
      </c>
      <c r="E10" s="13" t="n"/>
      <c r="F1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Balance de masa</t>
        </is>
      </c>
    </row>
    <row r="2">
      <c r="A2" s="2" t="inlineStr">
        <is>
          <t>Flujo MMPP -Productos final (régimen pleno)</t>
        </is>
      </c>
    </row>
    <row r="4">
      <c r="A4" s="7" t="inlineStr">
        <is>
          <t>MMPP</t>
        </is>
      </c>
      <c r="B4" s="7" t="inlineStr">
        <is>
          <t>Volumen anual (ton)</t>
        </is>
      </c>
      <c r="C4" s="7" t="inlineStr">
        <is>
          <t>Rendimiento</t>
        </is>
      </c>
      <c r="D4" s="7" t="inlineStr">
        <is>
          <t>Producto final (ton)</t>
        </is>
      </c>
      <c r="E4" s="7" t="inlineStr">
        <is>
          <t>% del total</t>
        </is>
      </c>
    </row>
    <row r="5">
      <c r="A5" s="8" t="inlineStr">
        <is>
          <t>ALPERUJO</t>
        </is>
      </c>
      <c r="B5" s="8" t="n">
        <v>20000</v>
      </c>
      <c r="C5" s="10" t="n">
        <v>0.39</v>
      </c>
      <c r="D5" s="8">
        <f>B5*C5</f>
        <v/>
      </c>
      <c r="E5" s="10">
        <f>D5/SUM($D$5:$D$9)</f>
        <v/>
      </c>
    </row>
    <row r="6">
      <c r="A6" s="8" t="inlineStr">
        <is>
          <t>TOMASA</t>
        </is>
      </c>
      <c r="B6" s="8" t="n">
        <v>12500</v>
      </c>
      <c r="C6" s="10" t="n">
        <v>0.2</v>
      </c>
      <c r="D6" s="8">
        <f>B6*C6</f>
        <v/>
      </c>
      <c r="E6" s="10">
        <f>D6/SUM($D$5:$D$9)</f>
        <v/>
      </c>
    </row>
    <row r="7">
      <c r="A7" s="8" t="inlineStr">
        <is>
          <t>POMASA</t>
        </is>
      </c>
      <c r="B7" s="8" t="n">
        <v>10000</v>
      </c>
      <c r="C7" s="10" t="n">
        <v>0.22</v>
      </c>
      <c r="D7" s="8">
        <f>B7*C7</f>
        <v/>
      </c>
      <c r="E7" s="10">
        <f>D7/SUM($D$5:$D$9)</f>
        <v/>
      </c>
    </row>
    <row r="8">
      <c r="A8" s="8" t="inlineStr">
        <is>
          <t>ORUJO_UVA</t>
        </is>
      </c>
      <c r="B8" s="8" t="n">
        <v>5000</v>
      </c>
      <c r="C8" s="10" t="n">
        <v>0.18</v>
      </c>
      <c r="D8" s="8">
        <f>B8*C8</f>
        <v/>
      </c>
      <c r="E8" s="10">
        <f>D8/SUM($D$5:$D$9)</f>
        <v/>
      </c>
    </row>
    <row r="9">
      <c r="A9" s="8" t="inlineStr">
        <is>
          <t>LEVADURA</t>
        </is>
      </c>
      <c r="B9" s="8" t="n">
        <v>2500</v>
      </c>
      <c r="C9" s="10" t="n">
        <v>0.3</v>
      </c>
      <c r="D9" s="8">
        <f>B9*C9</f>
        <v/>
      </c>
      <c r="E9" s="10">
        <f>D9/SUM($D$5:$D$9)</f>
        <v/>
      </c>
    </row>
    <row r="10">
      <c r="A10" s="11" t="inlineStr">
        <is>
          <t>TOTAL</t>
        </is>
      </c>
      <c r="B10" s="11">
        <f>SUM(B5:B9)</f>
        <v/>
      </c>
      <c r="C10" s="11" t="n"/>
      <c r="D10" s="11">
        <f>SUM(D5:D9)</f>
        <v/>
      </c>
      <c r="E10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Análisis de Sensibilidad 2D</t>
        </is>
      </c>
    </row>
    <row r="2">
      <c r="A2" s="2" t="inlineStr">
        <is>
          <t>TIR según shock precio × costo MMPP (7x7 = 49 simulaciones)</t>
        </is>
      </c>
    </row>
    <row r="4">
      <c r="A4" s="7" t="inlineStr">
        <is>
          <t>costo_mmpp \ precio</t>
        </is>
      </c>
      <c r="B4" s="7" t="inlineStr">
        <is>
          <t>-25%</t>
        </is>
      </c>
      <c r="C4" s="7" t="inlineStr">
        <is>
          <t>-17%</t>
        </is>
      </c>
      <c r="D4" s="7" t="inlineStr">
        <is>
          <t>-8%</t>
        </is>
      </c>
      <c r="E4" s="7" t="inlineStr">
        <is>
          <t>+0%</t>
        </is>
      </c>
      <c r="F4" s="7" t="inlineStr">
        <is>
          <t>+8%</t>
        </is>
      </c>
      <c r="G4" s="7" t="inlineStr">
        <is>
          <t>+17%</t>
        </is>
      </c>
      <c r="H4" s="7" t="inlineStr">
        <is>
          <t>+25%</t>
        </is>
      </c>
    </row>
    <row r="5">
      <c r="A5" s="7" t="inlineStr">
        <is>
          <t>-25%</t>
        </is>
      </c>
      <c r="B5" s="14" t="n">
        <v>0.04596067099553025</v>
      </c>
      <c r="C5" s="14" t="n">
        <v>0.1499339908219215</v>
      </c>
      <c r="D5" s="14" t="n">
        <v>0.2471626407749912</v>
      </c>
      <c r="E5" s="14" t="n">
        <v>0.3391272760408843</v>
      </c>
      <c r="F5" s="14" t="n">
        <v>0.4271045908631868</v>
      </c>
      <c r="G5" s="14" t="n">
        <v>0.5120132255628527</v>
      </c>
      <c r="H5" s="14" t="n">
        <v>0.5942504449941926</v>
      </c>
    </row>
    <row r="6">
      <c r="A6" s="7" t="inlineStr">
        <is>
          <t>-17%</t>
        </is>
      </c>
      <c r="B6" s="14" t="n">
        <v>0.03474405772787903</v>
      </c>
      <c r="C6" s="14" t="n">
        <v>0.1390380418878516</v>
      </c>
      <c r="D6" s="14" t="n">
        <v>0.2364396293058473</v>
      </c>
      <c r="E6" s="14" t="n">
        <v>0.3284797063358482</v>
      </c>
      <c r="F6" s="14" t="n">
        <v>0.4164649768443083</v>
      </c>
      <c r="G6" s="14" t="n">
        <v>0.5013326916199006</v>
      </c>
      <c r="H6" s="14" t="n">
        <v>0.5834926020573639</v>
      </c>
    </row>
    <row r="7">
      <c r="A7" s="7" t="inlineStr">
        <is>
          <t>-8%</t>
        </is>
      </c>
      <c r="B7" s="14" t="n">
        <v>0.02352805919559442</v>
      </c>
      <c r="C7" s="14" t="n">
        <v>0.12815797380472</v>
      </c>
      <c r="D7" s="14" t="n">
        <v>0.2257428892692344</v>
      </c>
      <c r="E7" s="14" t="n">
        <v>0.3178660082709928</v>
      </c>
      <c r="F7" s="14" t="n">
        <v>0.4058651303812637</v>
      </c>
      <c r="G7" s="14" t="n">
        <v>0.4906967139816225</v>
      </c>
      <c r="H7" s="14" t="n">
        <v>0.5727833345440929</v>
      </c>
    </row>
    <row r="8">
      <c r="A8" s="7" t="inlineStr">
        <is>
          <t>+0%</t>
        </is>
      </c>
      <c r="B8" s="14" t="n">
        <v>0.01233769837737042</v>
      </c>
      <c r="C8" s="14" t="n">
        <v>0.1173184293545768</v>
      </c>
      <c r="D8" s="14" t="n">
        <v>0.2150968441355263</v>
      </c>
      <c r="E8" s="14" t="n">
        <v>0.3073105275771557</v>
      </c>
      <c r="F8" s="14" t="n">
        <v>0.3953294335356972</v>
      </c>
      <c r="G8" s="14" t="n">
        <v>0.4801298017813604</v>
      </c>
      <c r="H8" s="14" t="n">
        <v>0.5621473504970793</v>
      </c>
    </row>
    <row r="9">
      <c r="A9" s="7" t="inlineStr">
        <is>
          <t>+8%</t>
        </is>
      </c>
      <c r="B9" s="14" t="n">
        <v>0.001157614231529269</v>
      </c>
      <c r="C9" s="14" t="n">
        <v>0.1065048876945729</v>
      </c>
      <c r="D9" s="14" t="n">
        <v>0.2044874167314463</v>
      </c>
      <c r="E9" s="14" t="n">
        <v>0.2967994084870655</v>
      </c>
      <c r="F9" s="14" t="n">
        <v>0.3848441159231464</v>
      </c>
      <c r="G9" s="14" t="n">
        <v>0.4696181804804038</v>
      </c>
      <c r="H9" s="14" t="n">
        <v>0.5515708092156775</v>
      </c>
    </row>
    <row r="10">
      <c r="A10" s="7" t="inlineStr">
        <is>
          <t>+17%</t>
        </is>
      </c>
      <c r="B10" s="14" t="n">
        <v>-0.01002753995458872</v>
      </c>
      <c r="C10" s="14" t="n">
        <v>0.09570294062154061</v>
      </c>
      <c r="D10" s="14" t="n">
        <v>0.1939007039283114</v>
      </c>
      <c r="E10" s="14" t="n">
        <v>0.2863190117876575</v>
      </c>
      <c r="F10" s="14" t="n">
        <v>0.3743956555712189</v>
      </c>
      <c r="G10" s="14" t="n">
        <v>0.4591483492973873</v>
      </c>
      <c r="H10" s="14" t="n">
        <v>0.5410401647895413</v>
      </c>
    </row>
    <row r="11">
      <c r="A11" s="7" t="inlineStr">
        <is>
          <t>+25%</t>
        </is>
      </c>
      <c r="B11" s="14" t="n">
        <v>-0.0211929202676916</v>
      </c>
      <c r="C11" s="14" t="n">
        <v>0.08493700679446237</v>
      </c>
      <c r="D11" s="14" t="n">
        <v>0.1833608597996366</v>
      </c>
      <c r="E11" s="14" t="n">
        <v>0.2758933739281326</v>
      </c>
      <c r="F11" s="14" t="n">
        <v>0.3640080907428691</v>
      </c>
      <c r="G11" s="14" t="n">
        <v>0.4487444434237551</v>
      </c>
      <c r="H11" s="14" t="n">
        <v>0.5305797246660722</v>
      </c>
    </row>
    <row r="14">
      <c r="A14" s="15" t="inlineStr">
        <is>
          <t>TIR base</t>
        </is>
      </c>
      <c r="B14" s="16" t="n">
        <v>0.3073105275771557</v>
      </c>
    </row>
    <row r="15">
      <c r="A15" s="15" t="inlineStr">
        <is>
          <t>Zona segura (% celdas &gt; hurdle)</t>
        </is>
      </c>
      <c r="B15" s="17" t="n">
        <v>0.7142857142857143</v>
      </c>
    </row>
    <row r="16">
      <c r="A16" s="15" t="inlineStr">
        <is>
          <t>Hurdle aplicado</t>
        </is>
      </c>
      <c r="B16" s="17" t="n">
        <v>0.15</v>
      </c>
    </row>
  </sheetData>
  <conditionalFormatting sqref="B5:H11">
    <cfRule type="colorScale" priority="1">
      <colorScale>
        <cfvo type="min"/>
        <cfvo type="num" val="0.15"/>
        <cfvo type="max"/>
        <color rgb="00FF3B30"/>
        <color rgb="00FFCC00"/>
        <color rgb="001A8A1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2" customWidth="1" min="4" max="4"/>
    <col width="16" customWidth="1" min="5" max="5"/>
  </cols>
  <sheetData>
    <row r="1">
      <c r="A1" s="1" t="inlineStr">
        <is>
          <t>Escenarios Estratégicos</t>
        </is>
      </c>
    </row>
    <row r="2">
      <c r="A2" s="2" t="inlineStr">
        <is>
          <t>PILOTO / INDUSTRIAL / EXPANSION — comparación de tres planes</t>
        </is>
      </c>
    </row>
    <row r="4">
      <c r="A4" s="7" t="inlineStr">
        <is>
          <t>Escenario</t>
        </is>
      </c>
      <c r="B4" s="7" t="inlineStr">
        <is>
          <t>CapEx total (CLP)</t>
        </is>
      </c>
      <c r="C4" s="7" t="inlineStr">
        <is>
          <t>TIR proyecto</t>
        </is>
      </c>
      <c r="D4" s="7" t="inlineStr">
        <is>
          <t>VAN @ 18% (CLP)</t>
        </is>
      </c>
      <c r="E4" s="7" t="inlineStr">
        <is>
          <t>Payback (meses)</t>
        </is>
      </c>
    </row>
    <row r="5">
      <c r="A5" s="8" t="inlineStr">
        <is>
          <t>PILOTO</t>
        </is>
      </c>
      <c r="B5" s="18" t="n">
        <v>9000000000</v>
      </c>
      <c r="C5" s="14" t="n">
        <v>0.1483261978978876</v>
      </c>
      <c r="D5" s="18" t="n">
        <v>-429999318.5778712</v>
      </c>
      <c r="E5" s="8" t="inlineStr">
        <is>
          <t>—</t>
        </is>
      </c>
    </row>
    <row r="6">
      <c r="A6" s="8" t="inlineStr">
        <is>
          <t>INDUSTRIAL</t>
        </is>
      </c>
      <c r="B6" s="18" t="n">
        <v>15000000000</v>
      </c>
      <c r="C6" s="14" t="n">
        <v>0.3073105275771557</v>
      </c>
      <c r="D6" s="18" t="n">
        <v>3538279298.272318</v>
      </c>
      <c r="E6" s="8" t="n">
        <v>54</v>
      </c>
    </row>
    <row r="7">
      <c r="A7" s="8" t="inlineStr">
        <is>
          <t>EXPANSION</t>
        </is>
      </c>
      <c r="B7" s="18" t="n">
        <v>28000000000</v>
      </c>
      <c r="C7" s="14" t="n">
        <v>0.2504158342690423</v>
      </c>
      <c r="D7" s="18" t="n">
        <v>3149471217.413098</v>
      </c>
      <c r="E7" s="8" t="n">
        <v>57</v>
      </c>
    </row>
    <row r="9" ht="30" customHeight="1">
      <c r="A9" s="19" t="inlineStr">
        <is>
          <t>Recomendación: INDUSTRIAL — VAN positivo y mejor risk-adjusted return</t>
        </is>
      </c>
    </row>
  </sheetData>
  <mergeCells count="1"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22" customWidth="1" min="4" max="4"/>
  </cols>
  <sheetData>
    <row r="1">
      <c r="A1" s="1" t="inlineStr">
        <is>
          <t>Carbon Footprint — LCA 3 Escenarios</t>
        </is>
      </c>
    </row>
    <row r="2">
      <c r="A2" s="2" t="inlineStr">
        <is>
          <t>Emisiones netas + revenue créditos voluntarios CO2</t>
        </is>
      </c>
    </row>
    <row r="4">
      <c r="A4" s="7" t="inlineStr">
        <is>
          <t>Escenario</t>
        </is>
      </c>
      <c r="B4" s="7" t="inlineStr">
        <is>
          <t>Emisiones netas 5y (ton CO2eq)</t>
        </is>
      </c>
      <c r="C4" s="7" t="inlineStr">
        <is>
          <t>Revenue créditos 5y (CLP)</t>
        </is>
      </c>
      <c r="D4" s="7" t="inlineStr">
        <is>
          <t>¿Carbono negativo?</t>
        </is>
      </c>
    </row>
    <row r="5">
      <c r="A5" s="8" t="inlineStr">
        <is>
          <t>Baseline</t>
        </is>
      </c>
      <c r="B5" s="20" t="n">
        <v>-53312.4</v>
      </c>
      <c r="C5" s="18" t="n">
        <v>735711120</v>
      </c>
      <c r="D5" s="21" t="inlineStr">
        <is>
          <t>SÍ ✓</t>
        </is>
      </c>
    </row>
    <row r="6">
      <c r="A6" s="8" t="inlineStr">
        <is>
          <t>BECCS</t>
        </is>
      </c>
      <c r="B6" s="20" t="n">
        <v>-138762</v>
      </c>
      <c r="C6" s="18" t="n">
        <v>1914915600</v>
      </c>
      <c r="D6" s="21" t="inlineStr">
        <is>
          <t>SÍ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>
      <c r="A1" s="1" t="inlineStr">
        <is>
          <t>Compliance — Ley REP</t>
        </is>
      </c>
    </row>
    <row r="2">
      <c r="A2" s="2" t="inlineStr">
        <is>
          <t>8 hitos regulatorios agroindustria</t>
        </is>
      </c>
    </row>
    <row r="4">
      <c r="A4" s="7" t="inlineStr">
        <is>
          <t>Hito</t>
        </is>
      </c>
      <c r="B4" s="7" t="inlineStr">
        <is>
          <t>Fecha vigor</t>
        </is>
      </c>
      <c r="C4" s="7" t="inlineStr">
        <is>
          <t>Severidad</t>
        </is>
      </c>
      <c r="D4" s="7" t="inlineStr">
        <is>
          <t>Costo estimado (CLP)</t>
        </is>
      </c>
      <c r="E4" s="7" t="inlineStr">
        <is>
          <t>Descripción</t>
        </is>
      </c>
    </row>
    <row r="5">
      <c r="A5" s="8" t="inlineStr">
        <is>
          <t>Ley 20.920 REP vigente</t>
        </is>
      </c>
      <c r="B5" s="8" t="inlineStr">
        <is>
          <t>2017-06-01</t>
        </is>
      </c>
      <c r="C5" s="8" t="inlineStr">
        <is>
          <t>INFORMATIVA</t>
        </is>
      </c>
      <c r="D5" s="18" t="n"/>
      <c r="E5" s="8" t="inlineStr">
        <is>
          <t>Mantener inscripción como gestor autorizado en MMA cuando se formalice.</t>
        </is>
      </c>
    </row>
    <row r="6">
      <c r="A6" s="8" t="inlineStr">
        <is>
          <t>Reglamento sanitario para recepción y almacenamiento de residuos productos prioritarios</t>
        </is>
      </c>
      <c r="B6" s="8" t="inlineStr">
        <is>
          <t>2026-07-14</t>
        </is>
      </c>
      <c r="C6" s="22" t="inlineStr">
        <is>
          <t>ALTA</t>
        </is>
      </c>
      <c r="D6" s="18" t="n">
        <v>80000000</v>
      </c>
      <c r="E6" s="8" t="inlineStr">
        <is>
          <t>Diseño de planta industrial debe incluir specs reglamento. Auditoría Q3 2026.</t>
        </is>
      </c>
    </row>
    <row r="7">
      <c r="A7" s="8" t="inlineStr">
        <is>
          <t>Green Points existentes: 3 años transición sin autorización</t>
        </is>
      </c>
      <c r="B7" s="8" t="inlineStr">
        <is>
          <t>2029-07-14</t>
        </is>
      </c>
      <c r="C7" s="23" t="inlineStr">
        <is>
          <t>MEDIA</t>
        </is>
      </c>
      <c r="D7" s="18" t="n">
        <v>15000000</v>
      </c>
      <c r="E7" s="8" t="inlineStr">
        <is>
          <t>Apoyar a oliveros con trámite o usar Green Points formalizados.</t>
        </is>
      </c>
    </row>
    <row r="8">
      <c r="A8" s="8" t="inlineStr">
        <is>
          <t>Ley residuos orgánicos — fase 1 (poda + ferias)</t>
        </is>
      </c>
      <c r="B8" s="8" t="inlineStr">
        <is>
          <t>2027-01-01</t>
        </is>
      </c>
      <c r="C8" s="23" t="inlineStr">
        <is>
          <t>MEDIA</t>
        </is>
      </c>
      <c r="D8" s="18" t="n"/>
      <c r="E8" s="8" t="inlineStr">
        <is>
          <t>Posicionarse como gestor en municipios productores (Valle Central oliva/uva).</t>
        </is>
      </c>
    </row>
    <row r="9">
      <c r="A9" s="8" t="inlineStr">
        <is>
          <t>Ley residuos orgánicos — fase 2 (centros comerciales + restaurantes)</t>
        </is>
      </c>
      <c r="B9" s="8" t="inlineStr">
        <is>
          <t>2030-01-01</t>
        </is>
      </c>
      <c r="C9" s="23" t="inlineStr">
        <is>
          <t>MEDIA</t>
        </is>
      </c>
      <c r="D9" s="18" t="n"/>
      <c r="E9" s="8" t="inlineStr">
        <is>
          <t>Evaluar pivotar/ampliar Servicios de Plataforma Tecnológica.</t>
        </is>
      </c>
    </row>
    <row r="10">
      <c r="A10" s="8" t="inlineStr">
        <is>
          <t>Hoja de Ruta Circular Chile 2040 — meta valorización 65%</t>
        </is>
      </c>
      <c r="B10" s="8" t="inlineStr">
        <is>
          <t>2040-01-01</t>
        </is>
      </c>
      <c r="C10" s="8" t="inlineStr">
        <is>
          <t>INFORMATIVA</t>
        </is>
      </c>
      <c r="D10" s="18" t="n"/>
      <c r="E10" s="8" t="inlineStr">
        <is>
          <t>Posicionamiento estratégico — alineado con visión 2040.</t>
        </is>
      </c>
    </row>
    <row r="11">
      <c r="A11" s="8" t="inlineStr">
        <is>
          <t>Prohibición quemas agrícolas (PDA)</t>
        </is>
      </c>
      <c r="B11" s="8" t="inlineStr">
        <is>
          <t>2026-01-01</t>
        </is>
      </c>
      <c r="C11" s="22" t="inlineStr">
        <is>
          <t>ALTA</t>
        </is>
      </c>
      <c r="D11" s="18" t="n"/>
      <c r="E11" s="8" t="inlineStr">
        <is>
          <t>Negociar contratos largos con proveedores que pierden la opción quema.</t>
        </is>
      </c>
    </row>
    <row r="12">
      <c r="A12" s="8" t="inlineStr">
        <is>
          <t>Norma BRC Global Standard for Food Safety (export)</t>
        </is>
      </c>
      <c r="B12" s="8" t="inlineStr">
        <is>
          <t>2027-06-01</t>
        </is>
      </c>
      <c r="C12" s="22" t="inlineStr">
        <is>
          <t>ALTA</t>
        </is>
      </c>
      <c r="D12" s="18" t="n">
        <v>120000000</v>
      </c>
      <c r="E12" s="8" t="inlineStr">
        <is>
          <t>Implementar HACCP + BRC en planta industrial año 2-3.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</cols>
  <sheetData>
    <row r="1">
      <c r="A1" s="1" t="inlineStr">
        <is>
          <t>Indicadores Macro Chile</t>
        </is>
      </c>
    </row>
    <row r="2">
      <c r="A2" s="2" t="inlineStr">
        <is>
          <t>Snapshot Banco Central (vía mindicador.cl, cache 24h)</t>
        </is>
      </c>
    </row>
    <row r="4">
      <c r="A4" s="7" t="inlineStr">
        <is>
          <t>Indicador</t>
        </is>
      </c>
      <c r="B4" s="7" t="inlineStr">
        <is>
          <t>Valor</t>
        </is>
      </c>
      <c r="C4" s="7" t="inlineStr">
        <is>
          <t>Unidad</t>
        </is>
      </c>
    </row>
    <row r="5">
      <c r="A5" s="8" t="inlineStr">
        <is>
          <t>Dólar Observado</t>
        </is>
      </c>
      <c r="B5" s="8" t="n">
        <v>899.86</v>
      </c>
      <c r="C5" s="8" t="inlineStr">
        <is>
          <t>CLP</t>
        </is>
      </c>
    </row>
    <row r="6">
      <c r="A6" s="8" t="inlineStr">
        <is>
          <t>UF</t>
        </is>
      </c>
      <c r="B6" s="8" t="n">
        <v>40509.29</v>
      </c>
      <c r="C6" s="8" t="inlineStr">
        <is>
          <t>CLP</t>
        </is>
      </c>
    </row>
    <row r="7">
      <c r="A7" s="8" t="inlineStr">
        <is>
          <t>IPC mensual</t>
        </is>
      </c>
      <c r="B7" s="8" t="n">
        <v>-0.2</v>
      </c>
      <c r="C7" s="8" t="inlineStr">
        <is>
          <t>%</t>
        </is>
      </c>
    </row>
    <row r="8">
      <c r="A8" s="8" t="inlineStr">
        <is>
          <t>TPM</t>
        </is>
      </c>
      <c r="B8" s="8" t="n">
        <v>4.5</v>
      </c>
      <c r="C8" s="8" t="inlineStr">
        <is>
          <t>%</t>
        </is>
      </c>
    </row>
    <row r="9">
      <c r="A9" s="8" t="inlineStr">
        <is>
          <t>Tasa desempleo</t>
        </is>
      </c>
      <c r="B9" s="8" t="n">
        <v>8.93</v>
      </c>
      <c r="C9" s="8" t="inlineStr">
        <is>
          <t>%</t>
        </is>
      </c>
    </row>
    <row r="11">
      <c r="A11" s="2" t="inlineStr">
        <is>
          <t>Fuente: mindicador.cl (Banco Central Chile)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5" customWidth="1" min="4" max="4"/>
  </cols>
  <sheetData>
    <row r="1">
      <c r="A1" s="1" t="inlineStr">
        <is>
          <t>Supuestos críticos del modelo</t>
        </is>
      </c>
    </row>
    <row r="2">
      <c r="A2" s="2" t="inlineStr">
        <is>
          <t>Valores configurables — modificar acá impacta TODAS las hojas</t>
        </is>
      </c>
    </row>
    <row r="4">
      <c r="A4" s="7" t="inlineStr">
        <is>
          <t>Supuesto</t>
        </is>
      </c>
      <c r="B4" s="7" t="inlineStr">
        <is>
          <t>Valor</t>
        </is>
      </c>
      <c r="C4" s="7" t="inlineStr">
        <is>
          <t>Unidad</t>
        </is>
      </c>
      <c r="D4" s="7" t="inlineStr">
        <is>
          <t>Fuente / Justificación</t>
        </is>
      </c>
    </row>
    <row r="5">
      <c r="A5" s="8" t="inlineStr">
        <is>
          <t>Volumen total anual</t>
        </is>
      </c>
      <c r="B5" s="8" t="n">
        <v>50000</v>
      </c>
      <c r="C5" s="8" t="inlineStr">
        <is>
          <t>ton</t>
        </is>
      </c>
      <c r="D5" s="8" t="inlineStr">
        <is>
          <t>Cap contractual</t>
        </is>
      </c>
    </row>
    <row r="6">
      <c r="A6" s="8" t="inlineStr">
        <is>
          <t>WACC anual</t>
        </is>
      </c>
      <c r="B6" s="8" t="n">
        <v>0.18</v>
      </c>
      <c r="C6" s="8" t="inlineStr">
        <is>
          <t>fracción</t>
        </is>
      </c>
      <c r="D6" s="8" t="inlineStr">
        <is>
          <t>Scielo sector pesca-acuicultura 19,6% - premium ESG</t>
        </is>
      </c>
    </row>
    <row r="7">
      <c r="A7" s="8" t="inlineStr">
        <is>
          <t>Costo MMPP neto</t>
        </is>
      </c>
      <c r="B7" s="8" t="n">
        <v>30</v>
      </c>
      <c r="C7" s="8" t="inlineStr">
        <is>
          <t>CLP/kg</t>
        </is>
      </c>
      <c r="D7" s="8" t="inlineStr">
        <is>
          <t>Flete - pagos parciales por residuo</t>
        </is>
      </c>
    </row>
    <row r="8">
      <c r="A8" s="8" t="inlineStr">
        <is>
          <t>Costo comercialización</t>
        </is>
      </c>
      <c r="B8" s="8" t="n">
        <v>0.22</v>
      </c>
      <c r="C8" s="8" t="inlineStr">
        <is>
          <t>% revenue</t>
        </is>
      </c>
      <c r="D8" s="8" t="inlineStr">
        <is>
          <t>Marketing + distribución + I+D</t>
        </is>
      </c>
    </row>
    <row r="9">
      <c r="A9" s="8" t="inlineStr">
        <is>
          <t>Impuesto renta</t>
        </is>
      </c>
      <c r="B9" s="8" t="n">
        <v>0.27</v>
      </c>
      <c r="C9" s="8" t="inlineStr">
        <is>
          <t>% utilidad</t>
        </is>
      </c>
      <c r="D9" s="8" t="inlineStr">
        <is>
          <t>DL 824 LIR Chile 27%</t>
        </is>
      </c>
    </row>
    <row r="10">
      <c r="A10" s="8" t="inlineStr">
        <is>
          <t>OpEx mensual</t>
        </is>
      </c>
      <c r="B10" s="8" t="n">
        <v>80000000</v>
      </c>
      <c r="C10" s="8" t="inlineStr">
        <is>
          <t>CLP</t>
        </is>
      </c>
      <c r="D10" s="8" t="inlineStr">
        <is>
          <t>25 personas + mantención + energía + admin</t>
        </is>
      </c>
    </row>
    <row r="11">
      <c r="A11" s="8" t="inlineStr">
        <is>
          <t>DSO (días cobro)</t>
        </is>
      </c>
      <c r="B11" s="8" t="n">
        <v>50</v>
      </c>
      <c r="C11" s="8" t="inlineStr">
        <is>
          <t>días</t>
        </is>
      </c>
      <c r="D11" s="8" t="inlineStr">
        <is>
          <t>B2B alimentos típico 45-60d</t>
        </is>
      </c>
    </row>
    <row r="12">
      <c r="A12" s="8" t="inlineStr">
        <is>
          <t>DPO (días pago)</t>
        </is>
      </c>
      <c r="B12" s="8" t="n">
        <v>35</v>
      </c>
      <c r="C12" s="8" t="inlineStr">
        <is>
          <t>días</t>
        </is>
      </c>
      <c r="D12" s="8" t="inlineStr">
        <is>
          <t>Proveedores MMPP típico 30-45d</t>
        </is>
      </c>
    </row>
    <row r="13">
      <c r="A13" s="8" t="inlineStr">
        <is>
          <t>Inventario</t>
        </is>
      </c>
      <c r="B13" s="8" t="n">
        <v>90</v>
      </c>
      <c r="C13" s="8" t="inlineStr">
        <is>
          <t>días</t>
        </is>
      </c>
      <c r="D13" s="8" t="inlineStr">
        <is>
          <t>Estacional MMPP concentrada 3 meses</t>
        </is>
      </c>
    </row>
    <row r="14">
      <c r="A14" s="8" t="inlineStr">
        <is>
          <t>Precio HARINA_ALPERUJO</t>
        </is>
      </c>
      <c r="B14" s="8" t="n">
        <v>800</v>
      </c>
      <c r="C14" s="8" t="inlineStr">
        <is>
          <t>CLP/kg</t>
        </is>
      </c>
      <c r="D14" s="8" t="inlineStr">
        <is>
          <t>Premium funcional</t>
        </is>
      </c>
    </row>
    <row r="15">
      <c r="A15" s="8" t="inlineStr">
        <is>
          <t>Precio HARINA_ORUJO</t>
        </is>
      </c>
      <c r="B15" s="8" t="n">
        <v>600</v>
      </c>
      <c r="C15" s="8" t="inlineStr">
        <is>
          <t>CLP/kg</t>
        </is>
      </c>
      <c r="D15" s="8" t="inlineStr">
        <is>
          <t>30% bajo harina pescado Chile</t>
        </is>
      </c>
    </row>
    <row r="16">
      <c r="A16" s="8" t="inlineStr">
        <is>
          <t>Precio LICOPENO</t>
        </is>
      </c>
      <c r="B16" s="8" t="n">
        <v>80000</v>
      </c>
      <c r="C16" s="8" t="inlineStr">
        <is>
          <t>CLP/kg</t>
        </is>
      </c>
      <c r="D16" s="8" t="inlineStr">
        <is>
          <t>USD 108-253/kg × 0.5 nuevo entrante</t>
        </is>
      </c>
    </row>
    <row r="17">
      <c r="A17" s="8" t="inlineStr">
        <is>
          <t>Precio PECTINA</t>
        </is>
      </c>
      <c r="B17" s="8" t="n">
        <v>25000</v>
      </c>
      <c r="C17" s="8" t="inlineStr">
        <is>
          <t>CLP/kg</t>
        </is>
      </c>
      <c r="D17" s="8" t="inlineStr">
        <is>
          <t>USD 55/kg mundial × 0.5</t>
        </is>
      </c>
    </row>
    <row r="18">
      <c r="A18" s="8" t="inlineStr">
        <is>
          <t>Rendimiento ALPERUJO</t>
        </is>
      </c>
      <c r="B18" s="8" t="n">
        <v>0.39</v>
      </c>
      <c r="C18" s="8" t="inlineStr">
        <is>
          <t>ton out/in</t>
        </is>
      </c>
      <c r="D18" s="8" t="inlineStr">
        <is>
          <t>Calibrado planta industrial</t>
        </is>
      </c>
    </row>
    <row r="19">
      <c r="A19" s="8" t="inlineStr">
        <is>
          <t>Rendimiento POMASA</t>
        </is>
      </c>
      <c r="B19" s="8" t="n">
        <v>0.22</v>
      </c>
      <c r="C19" s="8" t="inlineStr">
        <is>
          <t>ton out/in</t>
        </is>
      </c>
      <c r="D19" s="8" t="inlineStr">
        <is>
          <t>Validar con tomatera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Cómo usar este Excel</t>
        </is>
      </c>
    </row>
    <row r="2">
      <c r="A2" s="2" t="inlineStr">
        <is>
          <t>Conexión al motor en vivo + macros opcionales</t>
        </is>
      </c>
    </row>
    <row r="4">
      <c r="A4" t="inlineStr"/>
      <c r="B4" t="inlineStr"/>
    </row>
    <row r="5">
      <c r="A5" s="24" t="inlineStr">
        <is>
          <t>📊 ESTRUCTURA DEL EXCEL</t>
        </is>
      </c>
      <c r="B5" t="inlineStr"/>
    </row>
    <row r="6">
      <c r="A6" s="25" t="inlineStr">
        <is>
          <t>Dashboard</t>
        </is>
      </c>
      <c r="B6" s="26" t="inlineStr">
        <is>
          <t>KPIs grandes + Investment Readiness Score</t>
        </is>
      </c>
    </row>
    <row r="7">
      <c r="A7" s="25" t="inlineStr">
        <is>
          <t>Plan 5 años</t>
        </is>
      </c>
      <c r="B7" s="26" t="inlineStr">
        <is>
          <t>EERR anual con gráfico de barras</t>
        </is>
      </c>
    </row>
    <row r="8">
      <c r="A8" s="25" t="inlineStr">
        <is>
          <t>Balance Masa</t>
        </is>
      </c>
      <c r="B8" s="26" t="inlineStr">
        <is>
          <t>Flujo MMPP→producto con pie chart</t>
        </is>
      </c>
    </row>
    <row r="9">
      <c r="A9" s="25" t="inlineStr">
        <is>
          <t>Sensibilidad</t>
        </is>
      </c>
      <c r="B9" s="26" t="inlineStr">
        <is>
          <t>Heatmap 7x7 TIR vs precio×costo (con color scale)</t>
        </is>
      </c>
    </row>
    <row r="10">
      <c r="A10" s="25" t="inlineStr">
        <is>
          <t>Escenarios</t>
        </is>
      </c>
      <c r="B10" s="26" t="inlineStr">
        <is>
          <t>PILOTO/INDUSTRIAL/EXPANSION + recomendación</t>
        </is>
      </c>
    </row>
    <row r="11">
      <c r="A11" s="25" t="inlineStr">
        <is>
          <t>Carbono LCA</t>
        </is>
      </c>
      <c r="B11" s="26" t="inlineStr">
        <is>
          <t>Emisiones baseline + BECCS + revenue créditos</t>
        </is>
      </c>
    </row>
    <row r="12">
      <c r="A12" s="25" t="inlineStr">
        <is>
          <t>Compliance REP</t>
        </is>
      </c>
      <c r="B12" s="26" t="inlineStr">
        <is>
          <t>8 hitos Ley REP con severidad codificada</t>
        </is>
      </c>
    </row>
    <row r="13">
      <c r="A13" s="25" t="inlineStr">
        <is>
          <t>Macro Chile</t>
        </is>
      </c>
      <c r="B13" s="26" t="inlineStr">
        <is>
          <t>Snapshot Banco Central (vía mindicador.cl)</t>
        </is>
      </c>
    </row>
    <row r="14">
      <c r="A14" s="25" t="inlineStr">
        <is>
          <t>Supuestos</t>
        </is>
      </c>
      <c r="B14" s="26" t="inlineStr">
        <is>
          <t>Variables del modelo — modificar acá no afecta el motor</t>
        </is>
      </c>
    </row>
    <row r="15">
      <c r="A15" t="inlineStr"/>
      <c r="B15" t="inlineStr"/>
    </row>
    <row r="16">
      <c r="A16" s="24" t="inlineStr">
        <is>
          <t>🔄 ACTUALIZAR DATOS</t>
        </is>
      </c>
      <c r="B16" t="inlineStr"/>
    </row>
    <row r="17">
      <c r="A17" s="25" t="inlineStr">
        <is>
          <t>1.</t>
        </is>
      </c>
      <c r="B17" s="26" t="inlineStr">
        <is>
          <t>Cierra este archivo</t>
        </is>
      </c>
    </row>
    <row r="18">
      <c r="A18" s="25" t="inlineStr">
        <is>
          <t>2.</t>
        </is>
      </c>
      <c r="B18" s="26" t="inlineStr">
        <is>
          <t>Ejecuta: python scripts/generar_excel_master.py</t>
        </is>
      </c>
    </row>
    <row r="19">
      <c r="A19" s="25" t="inlineStr">
        <is>
          <t>3.</t>
        </is>
      </c>
      <c r="B19" s="26" t="inlineStr">
        <is>
          <t>Abre el nuevo .xlsx generado en backups/</t>
        </is>
      </c>
    </row>
    <row r="20">
      <c r="A20" t="inlineStr"/>
      <c r="B20" t="inlineStr"/>
    </row>
    <row r="21">
      <c r="A21" s="24" t="inlineStr">
        <is>
          <t>🌐 CONEXIÓN AL MOTOR (LIVE API)</t>
        </is>
      </c>
      <c r="B21" t="inlineStr"/>
    </row>
    <row r="22">
      <c r="A22" s="25" t="inlineStr">
        <is>
          <t>Engine URL</t>
        </is>
      </c>
      <c r="B22" s="26" t="inlineStr">
        <is>
          <t>https://trongkai-engine.fly.dev</t>
        </is>
      </c>
    </row>
    <row r="23">
      <c r="A23" s="25" t="inlineStr">
        <is>
          <t>OpenAPI/Swagger</t>
        </is>
      </c>
      <c r="B23" s="26" t="inlineStr">
        <is>
          <t>https://trongkai-engine.fly.dev/docs</t>
        </is>
      </c>
    </row>
    <row r="24">
      <c r="A24" s="25" t="inlineStr">
        <is>
          <t>Endpoint dashboard</t>
        </is>
      </c>
      <c r="B24" s="26" t="inlineStr">
        <is>
          <t>GET /api/snapshot — todo en un JSON</t>
        </is>
      </c>
    </row>
    <row r="25">
      <c r="A25" s="25" t="inlineStr">
        <is>
          <t>Endpoint PDF</t>
        </is>
      </c>
      <c r="B25" s="26" t="inlineStr">
        <is>
          <t>GET /api/tearsheet.pdf — descarga directa</t>
        </is>
      </c>
    </row>
    <row r="26">
      <c r="A26" s="25" t="inlineStr">
        <is>
          <t>Endpoint readiness</t>
        </is>
      </c>
      <c r="B26" s="26" t="inlineStr">
        <is>
          <t>GET /readiness/score — score 0-100</t>
        </is>
      </c>
    </row>
    <row r="27">
      <c r="A27" t="inlineStr"/>
      <c r="B27" t="inlineStr"/>
    </row>
    <row r="28">
      <c r="A28" s="24" t="inlineStr">
        <is>
          <t>⚙️ MACROS VBA (OPCIONAL — agregar manualmente)</t>
        </is>
      </c>
      <c r="B28" t="inlineStr"/>
    </row>
    <row r="29">
      <c r="A29" s="24" t="inlineStr">
        <is>
          <t>Para conectar este Excel al motor con macros VBA:</t>
        </is>
      </c>
      <c r="B29" t="inlineStr"/>
    </row>
    <row r="30">
      <c r="A30" s="25" t="inlineStr">
        <is>
          <t>1.</t>
        </is>
      </c>
      <c r="B30" s="26" t="inlineStr">
        <is>
          <t>Guarda este archivo como .xlsm (Habilitado para macros)</t>
        </is>
      </c>
    </row>
    <row r="31">
      <c r="A31" s="25" t="inlineStr">
        <is>
          <t>2.</t>
        </is>
      </c>
      <c r="B31" s="26" t="inlineStr">
        <is>
          <t>Alt+F11 abre el editor VBA</t>
        </is>
      </c>
    </row>
    <row r="32">
      <c r="A32" s="25" t="inlineStr">
        <is>
          <t>3.</t>
        </is>
      </c>
      <c r="B32" s="26" t="inlineStr">
        <is>
          <t>Pega el código de la siguiente sección</t>
        </is>
      </c>
    </row>
    <row r="33">
      <c r="A33" t="inlineStr"/>
      <c r="B33" t="inlineStr"/>
    </row>
    <row r="34">
      <c r="A34" s="24" t="inlineStr">
        <is>
          <t>--- CÓDIGO VBA EJEMPLO ---</t>
        </is>
      </c>
      <c r="B34" t="inlineStr"/>
    </row>
    <row r="35">
      <c r="A35" s="24" t="inlineStr">
        <is>
          <t>Sub RefrescarDashboard()</t>
        </is>
      </c>
      <c r="B35" t="inlineStr"/>
    </row>
    <row r="36">
      <c r="A36" s="24" t="inlineStr">
        <is>
          <t xml:space="preserve">    Dim http As Object</t>
        </is>
      </c>
      <c r="B36" t="inlineStr"/>
    </row>
    <row r="37">
      <c r="A37" s="24" t="inlineStr">
        <is>
          <t xml:space="preserve">    Set http = CreateObject('MSXML2.XMLHTTP')</t>
        </is>
      </c>
      <c r="B37" t="inlineStr"/>
    </row>
    <row r="38">
      <c r="A38" s="24" t="inlineStr">
        <is>
          <t xml:space="preserve">    http.Open 'GET', 'https://trongkai-engine.fly.dev/api/snapshot', False</t>
        </is>
      </c>
      <c r="B38" t="inlineStr"/>
    </row>
    <row r="39">
      <c r="A39" s="24" t="inlineStr">
        <is>
          <t xml:space="preserve">    http.Send</t>
        </is>
      </c>
      <c r="B39" t="inlineStr"/>
    </row>
    <row r="40">
      <c r="A40" s="24" t="inlineStr">
        <is>
          <t xml:space="preserve">    MsgBox 'Status: ' &amp; http.Status &amp; vbCrLf &amp; 'Body: ' &amp; Left(http.responseText, 200)</t>
        </is>
      </c>
      <c r="B40" t="inlineStr"/>
    </row>
    <row r="41">
      <c r="A41" s="24" t="inlineStr">
        <is>
          <t>End Sub</t>
        </is>
      </c>
      <c r="B41" t="inlineStr"/>
    </row>
    <row r="42">
      <c r="A42" t="inlineStr"/>
      <c r="B42" t="inlineStr"/>
    </row>
    <row r="43">
      <c r="A43" s="24" t="inlineStr">
        <is>
          <t>Sub DescargarTearsheetPDF()</t>
        </is>
      </c>
      <c r="B43" t="inlineStr"/>
    </row>
    <row r="44">
      <c r="A44" s="24" t="inlineStr">
        <is>
          <t xml:space="preserve">    Dim url As String</t>
        </is>
      </c>
      <c r="B44" t="inlineStr"/>
    </row>
    <row r="45">
      <c r="A45" s="24" t="inlineStr">
        <is>
          <t xml:space="preserve">    url = 'https://trongkai-engine.fly.dev/api/tearsheet.pdf'</t>
        </is>
      </c>
      <c r="B45" t="inlineStr"/>
    </row>
    <row r="46">
      <c r="A46" s="24" t="inlineStr">
        <is>
          <t xml:space="preserve">    ThisWorkbook.FollowHyperlink url</t>
        </is>
      </c>
      <c r="B46" t="inlineStr"/>
    </row>
    <row r="47">
      <c r="A47" s="24" t="inlineStr">
        <is>
          <t>End Sub</t>
        </is>
      </c>
      <c r="B47" t="inlineStr"/>
    </row>
    <row r="48">
      <c r="A48" t="inlineStr"/>
      <c r="B48" t="inlineStr"/>
    </row>
    <row r="49">
      <c r="A49" s="25" t="inlineStr">
        <is>
          <t>📁 GENERADO POR</t>
        </is>
      </c>
      <c r="B49" s="26" t="inlineStr">
        <is>
          <t>TrongkAI Platform</t>
        </is>
      </c>
    </row>
    <row r="50">
      <c r="A50" s="25" t="inlineStr">
        <is>
          <t>Fecha generación</t>
        </is>
      </c>
      <c r="B50" s="26" t="inlineStr">
        <is>
          <t>25 May 2026, 17:37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2026-05-25T21:37:43Z</dcterms:created>
  <dcterms:modified xmlns:dcterms="http://purl.org/dc/terms/" xmlns:xsi="http://www.w3.org/2001/XMLSchema-instance" xsi:type="dcterms:W3CDTF">2026-05-25T21:37:44Z</dcterms:modified>
</cp:coreProperties>
</file>
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col\OneDrive\Documentos\0.1.1 TrongkAI\trongkai-platform\entregables\02-excel-master\"/>
    </mc:Choice>
  </mc:AlternateContent>
  <xr:revisionPtr revIDLastSave="0" documentId="13_ncr:1_{5DB278A5-BC72-4C05-BB60-E858D2FB02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shboard" sheetId="1" r:id="rId1"/>
    <sheet name="Plan 5 años" sheetId="2" r:id="rId2"/>
    <sheet name="Balance Masa" sheetId="3" r:id="rId3"/>
    <sheet name="Sensibilidad" sheetId="4" r:id="rId4"/>
    <sheet name="Escenarios" sheetId="5" r:id="rId5"/>
    <sheet name="Carbono LCA" sheetId="6" r:id="rId6"/>
    <sheet name="Compliance REP" sheetId="7" r:id="rId7"/>
    <sheet name="Macro Chile" sheetId="8" r:id="rId8"/>
    <sheet name="Supuestos" sheetId="9" r:id="rId9"/>
    <sheet name="Instruccion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3" l="1"/>
  <c r="B10" i="3"/>
  <c r="D9" i="3"/>
  <c r="E9" i="3" s="1"/>
  <c r="D8" i="3"/>
  <c r="E8" i="3" s="1"/>
  <c r="E7" i="3"/>
  <c r="D7" i="3"/>
  <c r="D6" i="3"/>
  <c r="E6" i="3" s="1"/>
  <c r="D5" i="3"/>
  <c r="E5" i="3" s="1"/>
  <c r="D10" i="2"/>
  <c r="C10" i="2"/>
  <c r="B10" i="2"/>
  <c r="F9" i="2"/>
  <c r="E9" i="2"/>
  <c r="F8" i="2"/>
  <c r="E8" i="2"/>
  <c r="F7" i="2"/>
  <c r="E7" i="2"/>
  <c r="F6" i="2"/>
  <c r="E6" i="2"/>
  <c r="F5" i="2"/>
  <c r="E5" i="2"/>
</calcChain>
</file>

<file path=xl/sharedStrings.xml><?xml version="1.0" encoding="utf-8"?>
<sst xmlns="http://schemas.openxmlformats.org/spreadsheetml/2006/main" count="276" uniqueCount="239">
  <si>
    <t>Trongkai</t>
  </si>
  <si>
    <t>Innovación en Nutrición Circular · Tearsheet ejecutivo</t>
  </si>
  <si>
    <t>Generado: 25 May 2026, 16:40</t>
  </si>
  <si>
    <t>TIR Proyecto</t>
  </si>
  <si>
    <t>VAN @ WACC 18%</t>
  </si>
  <si>
    <t>Payback</t>
  </si>
  <si>
    <t>EV exit 5y</t>
  </si>
  <si>
    <t>30.73%</t>
  </si>
  <si>
    <t>$3.5B CLP</t>
  </si>
  <si>
    <t>54 meses</t>
  </si>
  <si>
    <t>$136B CLP</t>
  </si>
  <si>
    <t>Investment Readiness Score: 84.7/100 — BANKABLE — proyecto listo para LP roadshow / cierre de financiamiento.</t>
  </si>
  <si>
    <t>Score por dimensión</t>
  </si>
  <si>
    <t>Dimensión</t>
  </si>
  <si>
    <t>Peso</t>
  </si>
  <si>
    <t>Score 0-100</t>
  </si>
  <si>
    <t>Aporte total</t>
  </si>
  <si>
    <t>Detalle</t>
  </si>
  <si>
    <t>Retorno financiero</t>
  </si>
  <si>
    <t>20%</t>
  </si>
  <si>
    <t>TIR 30.7% (+15.7pp sobre hurdle)</t>
  </si>
  <si>
    <t>Robustez Monte Carlo</t>
  </si>
  <si>
    <t>15%</t>
  </si>
  <si>
    <t>Prob(TIR&gt;WACC) = 76% en 1000+ sims</t>
  </si>
  <si>
    <t>Bancabilidad DSCR</t>
  </si>
  <si>
    <t>DSCR 14.38 — bancable holgado</t>
  </si>
  <si>
    <t>Diversificación marca</t>
  </si>
  <si>
    <t>10%</t>
  </si>
  <si>
    <t>Sin desglose por marca</t>
  </si>
  <si>
    <t>ESG carbono</t>
  </si>
  <si>
    <t>Carbono negativo (-53,028 ton CO2eq 5y)</t>
  </si>
  <si>
    <t>Compliance regulatorio</t>
  </si>
  <si>
    <t>Sin obligaciones pendientes</t>
  </si>
  <si>
    <t>Resiliencia (break-even)</t>
  </si>
  <si>
    <t>Colchón promedio 73%</t>
  </si>
  <si>
    <t>Madurez operativa</t>
  </si>
  <si>
    <t>EBITDA año 2 positivo (ramp-up año 1)</t>
  </si>
  <si>
    <t>Plan 5 años — EERR anual</t>
  </si>
  <si>
    <t>Ingresos / EBITDA / CapEx por año del proyecto</t>
  </si>
  <si>
    <t>Año</t>
  </si>
  <si>
    <t>Ingresos (CLP)</t>
  </si>
  <si>
    <t>EBITDA (CLP)</t>
  </si>
  <si>
    <t>CapEx (CLP)</t>
  </si>
  <si>
    <t>EBITDA Margin</t>
  </si>
  <si>
    <t>Ratio CapEx/Ventas</t>
  </si>
  <si>
    <t>TOTAL</t>
  </si>
  <si>
    <t>Balance de masa</t>
  </si>
  <si>
    <t>Flujo MMPP -Productos final (régimen pleno)</t>
  </si>
  <si>
    <t>MMPP</t>
  </si>
  <si>
    <t>Volumen anual (ton)</t>
  </si>
  <si>
    <t>Rendimiento</t>
  </si>
  <si>
    <t>Producto final (ton)</t>
  </si>
  <si>
    <t>% del total</t>
  </si>
  <si>
    <t>ALPERUJO</t>
  </si>
  <si>
    <t>TOMASA</t>
  </si>
  <si>
    <t>POMASA</t>
  </si>
  <si>
    <t>ORUJO_UVA</t>
  </si>
  <si>
    <t>LEVADURA</t>
  </si>
  <si>
    <t>Análisis de Sensibilidad 2D</t>
  </si>
  <si>
    <t>TIR según shock precio × costo MMPP (7x7 = 49 simulaciones)</t>
  </si>
  <si>
    <t>costo_mmpp \ precio</t>
  </si>
  <si>
    <t>-25%</t>
  </si>
  <si>
    <t>-17%</t>
  </si>
  <si>
    <t>-8%</t>
  </si>
  <si>
    <t>+0%</t>
  </si>
  <si>
    <t>+8%</t>
  </si>
  <si>
    <t>+17%</t>
  </si>
  <si>
    <t>+25%</t>
  </si>
  <si>
    <t>TIR base</t>
  </si>
  <si>
    <t>Zona segura (% celdas &gt; hurdle)</t>
  </si>
  <si>
    <t>Hurdle aplicado</t>
  </si>
  <si>
    <t>Escenarios Estratégicos</t>
  </si>
  <si>
    <t>PILOTO / INDUSTRIAL / EXPANSION — comparación de tres planes</t>
  </si>
  <si>
    <t>Escenario</t>
  </si>
  <si>
    <t>CapEx total (CLP)</t>
  </si>
  <si>
    <t>TIR proyecto</t>
  </si>
  <si>
    <t>VAN @ 18% (CLP)</t>
  </si>
  <si>
    <t>Payback (meses)</t>
  </si>
  <si>
    <t>PILOTO</t>
  </si>
  <si>
    <t>—</t>
  </si>
  <si>
    <t>INDUSTRIAL</t>
  </si>
  <si>
    <t>EXPANSION</t>
  </si>
  <si>
    <t>Recomendación: INDUSTRIAL — VAN positivo y mejor risk-adjusted return</t>
  </si>
  <si>
    <t>Carbon Footprint — LCA 3 Escenarios</t>
  </si>
  <si>
    <t>Emisiones netas + revenue créditos voluntarios CO2</t>
  </si>
  <si>
    <t>Emisiones netas 5y (ton CO2eq)</t>
  </si>
  <si>
    <t>Revenue créditos 5y (CLP)</t>
  </si>
  <si>
    <t>¿Carbono negativo?</t>
  </si>
  <si>
    <t>Baseline</t>
  </si>
  <si>
    <t>SÍ ✓</t>
  </si>
  <si>
    <t>BECCS</t>
  </si>
  <si>
    <t>Compliance — Ley REP</t>
  </si>
  <si>
    <t>8 hitos regulatorios agroindustria</t>
  </si>
  <si>
    <t>Hito</t>
  </si>
  <si>
    <t>Fecha vigor</t>
  </si>
  <si>
    <t>Severidad</t>
  </si>
  <si>
    <t>Costo estimado (CLP)</t>
  </si>
  <si>
    <t>Descripción</t>
  </si>
  <si>
    <t>Ley 20.920 REP vigente</t>
  </si>
  <si>
    <t>2017-06-01</t>
  </si>
  <si>
    <t>INFORMATIVA</t>
  </si>
  <si>
    <t>Mantener inscripción como gestor autorizado en MMA cuando se formalice.</t>
  </si>
  <si>
    <t>Reglamento sanitario para recepción y almacenamiento de residuos productos prioritarios</t>
  </si>
  <si>
    <t>2026-07-14</t>
  </si>
  <si>
    <t>ALTA</t>
  </si>
  <si>
    <t>Diseño de planta industrial debe incluir specs reglamento. Auditoría Q3 2026.</t>
  </si>
  <si>
    <t>Green Points existentes: 3 años transición sin autorización</t>
  </si>
  <si>
    <t>2029-07-14</t>
  </si>
  <si>
    <t>MEDIA</t>
  </si>
  <si>
    <t>Apoyar a oliveros con trámite o usar Green Points formalizados.</t>
  </si>
  <si>
    <t>Ley residuos orgánicos — fase 1 (poda + ferias)</t>
  </si>
  <si>
    <t>2027-01-01</t>
  </si>
  <si>
    <t>Posicionarse como gestor en municipios productores (Valle Central oliva/uva).</t>
  </si>
  <si>
    <t>Ley residuos orgánicos — fase 2 (centros comerciales + restaurantes)</t>
  </si>
  <si>
    <t>2030-01-01</t>
  </si>
  <si>
    <t>Evaluar pivotar/ampliar Servicios de Plataforma Tecnológica.</t>
  </si>
  <si>
    <t>Hoja de Ruta Circular Chile 2040 — meta valorización 65%</t>
  </si>
  <si>
    <t>2040-01-01</t>
  </si>
  <si>
    <t>Posicionamiento estratégico — alineado con visión 2040.</t>
  </si>
  <si>
    <t>Prohibición quemas agrícolas (PDA)</t>
  </si>
  <si>
    <t>2026-01-01</t>
  </si>
  <si>
    <t>Negociar contratos largos con proveedores que pierden la opción quema.</t>
  </si>
  <si>
    <t>Norma BRC Global Standard for Food Safety (export)</t>
  </si>
  <si>
    <t>2027-06-01</t>
  </si>
  <si>
    <t>Implementar HACCP + BRC en planta industrial año 2-3.</t>
  </si>
  <si>
    <t>Indicadores Macro Chile</t>
  </si>
  <si>
    <t>Snapshot Banco Central (vía mindicador.cl, cache 24h)</t>
  </si>
  <si>
    <t>Indicador</t>
  </si>
  <si>
    <t>Valor</t>
  </si>
  <si>
    <t>Unidad</t>
  </si>
  <si>
    <t>Dólar Observado</t>
  </si>
  <si>
    <t>CLP</t>
  </si>
  <si>
    <t>UF</t>
  </si>
  <si>
    <t>IPC mensual</t>
  </si>
  <si>
    <t>%</t>
  </si>
  <si>
    <t>TPM</t>
  </si>
  <si>
    <t>Tasa desempleo</t>
  </si>
  <si>
    <t>Fuente: mindicador.cl (Banco Central Chile)</t>
  </si>
  <si>
    <t>Supuestos críticos del modelo</t>
  </si>
  <si>
    <t>Valores configurables — modificar acá impacta TODAS las hojas</t>
  </si>
  <si>
    <t>Supuesto</t>
  </si>
  <si>
    <t>Fuente / Justificación</t>
  </si>
  <si>
    <t>Volumen total anual</t>
  </si>
  <si>
    <t>ton</t>
  </si>
  <si>
    <t>Cap contractual</t>
  </si>
  <si>
    <t>WACC anual</t>
  </si>
  <si>
    <t>fracción</t>
  </si>
  <si>
    <t>Scielo sector pesca-acuicultura 19,6% - premium ESG</t>
  </si>
  <si>
    <t>Costo MMPP neto</t>
  </si>
  <si>
    <t>CLP/kg</t>
  </si>
  <si>
    <t>Flete - pagos parciales por residuo</t>
  </si>
  <si>
    <t>Costo comercialización</t>
  </si>
  <si>
    <t>% revenue</t>
  </si>
  <si>
    <t>Marketing + distribución + I+D</t>
  </si>
  <si>
    <t>Impuesto renta</t>
  </si>
  <si>
    <t>% utilidad</t>
  </si>
  <si>
    <t>DL 824 LIR Chile 27%</t>
  </si>
  <si>
    <t>OpEx mensual</t>
  </si>
  <si>
    <t>25 personas + mantención + energía + admin</t>
  </si>
  <si>
    <t>DSO (días cobro)</t>
  </si>
  <si>
    <t>días</t>
  </si>
  <si>
    <t>B2B alimentos típico 45-60d</t>
  </si>
  <si>
    <t>DPO (días pago)</t>
  </si>
  <si>
    <t>Proveedores MMPP típico 30-45d</t>
  </si>
  <si>
    <t>Inventario</t>
  </si>
  <si>
    <t>Estacional MMPP concentrada 3 meses</t>
  </si>
  <si>
    <t>Precio HARINA_ALPERUJO</t>
  </si>
  <si>
    <t>Premium funcional</t>
  </si>
  <si>
    <t>Precio HARINA_ORUJO</t>
  </si>
  <si>
    <t>30% bajo harina pescado Chile</t>
  </si>
  <si>
    <t>Precio LICOPENO</t>
  </si>
  <si>
    <t>USD 108-253/kg × 0.5 nuevo entrante</t>
  </si>
  <si>
    <t>Precio PECTINA</t>
  </si>
  <si>
    <t>USD 55/kg mundial × 0.5</t>
  </si>
  <si>
    <t>Rendimiento ALPERUJO</t>
  </si>
  <si>
    <t>ton out/in</t>
  </si>
  <si>
    <t>Calibrado planta industrial</t>
  </si>
  <si>
    <t>Rendimiento POMASA</t>
  </si>
  <si>
    <t>Validar con tomatera</t>
  </si>
  <si>
    <t>Cómo usar este Excel</t>
  </si>
  <si>
    <t>Conexión al motor en vivo + macros opcionales</t>
  </si>
  <si>
    <t>📊 ESTRUCTURA DEL EXCEL</t>
  </si>
  <si>
    <t>Dashboard</t>
  </si>
  <si>
    <t>KPIs grandes + Investment Readiness Score</t>
  </si>
  <si>
    <t>Plan 5 años</t>
  </si>
  <si>
    <t>EERR anual con gráfico de barras</t>
  </si>
  <si>
    <t>Balance Masa</t>
  </si>
  <si>
    <t>Flujo MMPP→producto con pie chart</t>
  </si>
  <si>
    <t>Sensibilidad</t>
  </si>
  <si>
    <t>Heatmap 7x7 TIR vs precio×costo (con color scale)</t>
  </si>
  <si>
    <t>Escenarios</t>
  </si>
  <si>
    <t>PILOTO/INDUSTRIAL/EXPANSION + recomendación</t>
  </si>
  <si>
    <t>Carbono LCA</t>
  </si>
  <si>
    <t>Emisiones baseline + BECCS + revenue créditos</t>
  </si>
  <si>
    <t>Compliance REP</t>
  </si>
  <si>
    <t>8 hitos Ley REP con severidad codificada</t>
  </si>
  <si>
    <t>Macro Chile</t>
  </si>
  <si>
    <t>Snapshot Banco Central (vía mindicador.cl)</t>
  </si>
  <si>
    <t>Supuestos</t>
  </si>
  <si>
    <t>Variables del modelo — modificar acá no afecta el motor</t>
  </si>
  <si>
    <t>🔄 ACTUALIZAR DATOS</t>
  </si>
  <si>
    <t>1.</t>
  </si>
  <si>
    <t>Cierra este archivo</t>
  </si>
  <si>
    <t>2.</t>
  </si>
  <si>
    <t>Ejecuta: python scripts/generar_excel_master.py</t>
  </si>
  <si>
    <t>3.</t>
  </si>
  <si>
    <t>Abre el nuevo .xlsx generado en backups/</t>
  </si>
  <si>
    <t>🌐 CONEXIÓN AL MOTOR (LIVE API)</t>
  </si>
  <si>
    <t>Engine URL</t>
  </si>
  <si>
    <t>https://trongkai-engine.fly.dev</t>
  </si>
  <si>
    <t>OpenAPI/Swagger</t>
  </si>
  <si>
    <t>https://trongkai-engine.fly.dev/docs</t>
  </si>
  <si>
    <t>Endpoint dashboard</t>
  </si>
  <si>
    <t>GET /api/snapshot — todo en un JSON</t>
  </si>
  <si>
    <t>Endpoint PDF</t>
  </si>
  <si>
    <t>GET /api/tearsheet.pdf — descarga directa</t>
  </si>
  <si>
    <t>Endpoint readiness</t>
  </si>
  <si>
    <t>GET /readiness/score — score 0-100</t>
  </si>
  <si>
    <t>⚙️ MACROS VBA (OPCIONAL — agregar manualmente)</t>
  </si>
  <si>
    <t>Para conectar este Excel al motor con macros VBA:</t>
  </si>
  <si>
    <t>Guarda este archivo como .xlsm (Habilitado para macros)</t>
  </si>
  <si>
    <t>Alt+F11 abre el editor VBA</t>
  </si>
  <si>
    <t>Pega el código de la siguiente sección</t>
  </si>
  <si>
    <t>--- CÓDIGO VBA EJEMPLO ---</t>
  </si>
  <si>
    <t>Sub RefrescarDashboard()</t>
  </si>
  <si>
    <t xml:space="preserve">    Dim http As Object</t>
  </si>
  <si>
    <t xml:space="preserve">    Set http = CreateObject('MSXML2.XMLHTTP')</t>
  </si>
  <si>
    <t xml:space="preserve">    http.Open 'GET', 'https://trongkai-engine.fly.dev/api/snapshot', False</t>
  </si>
  <si>
    <t xml:space="preserve">    http.Send</t>
  </si>
  <si>
    <t xml:space="preserve">    MsgBox 'Status: ' &amp; http.Status &amp; vbCrLf &amp; 'Body: ' &amp; Left(http.responseText, 200)</t>
  </si>
  <si>
    <t>End Sub</t>
  </si>
  <si>
    <t>Sub DescargarTearsheetPDF()</t>
  </si>
  <si>
    <t xml:space="preserve">    Dim url As String</t>
  </si>
  <si>
    <t xml:space="preserve">    url = 'https://trongkai-engine.fly.dev/api/tearsheet.pdf'</t>
  </si>
  <si>
    <t xml:space="preserve">    ThisWorkbook.FollowHyperlink url</t>
  </si>
  <si>
    <t>📁 GENERADO POR</t>
  </si>
  <si>
    <t>TrongkAI Platform</t>
  </si>
  <si>
    <t>Fecha generación</t>
  </si>
  <si>
    <t>25 May 2026, 16:40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</si>
</sst>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;\-&quot;$&quot;#,##0"/>
    <numFmt numFmtId="164" formatCode="0.0%"/>
    <numFmt numFmtId="165" formatCode="&quot;$&quot;#,##0"/>
  </numFmts>
  <fonts count="16" x14ac:knownFonts="1">
    <font>
      <sz val="11"/>
      <color theme="1"/>
      <name val="Calibri"/>
      <family val="2"/>
      <scheme val="minor"/>
    </font>
    <font>
      <b/>
      <sz val="20"/>
      <color rgb="FF1D1D1F"/>
      <name val="Calibri"/>
    </font>
    <font>
      <sz val="11"/>
      <color rgb="FF86868B"/>
      <name val="Calibri"/>
    </font>
    <font>
      <b/>
      <sz val="10"/>
      <color rgb="FF86868B"/>
      <name val="Calibri"/>
    </font>
    <font>
      <b/>
      <sz val="36"/>
      <color rgb="FF1A8A1A"/>
      <name val="Calibri"/>
    </font>
    <font>
      <b/>
      <sz val="14"/>
      <color rgb="FF1A8A1A"/>
      <name val="Calibri"/>
    </font>
    <font>
      <b/>
      <sz val="14"/>
      <color rgb="FF1D1D1F"/>
      <name val="Calibri"/>
    </font>
    <font>
      <b/>
      <sz val="10"/>
      <color rgb="FFFFFFFF"/>
      <name val="Calibri"/>
    </font>
    <font>
      <sz val="10"/>
      <color rgb="FF1D1D1F"/>
      <name val="Calibri"/>
    </font>
    <font>
      <b/>
      <sz val="10"/>
      <color rgb="FF1D1D1F"/>
      <name val="Calibri"/>
    </font>
    <font>
      <b/>
      <sz val="11"/>
      <name val="Calibri"/>
    </font>
    <font>
      <b/>
      <sz val="11"/>
      <color rgb="FF1A8A1A"/>
      <name val="Calibri"/>
    </font>
    <font>
      <b/>
      <sz val="11"/>
      <color rgb="FFFFFFFF"/>
      <name val="Calibri"/>
    </font>
    <font>
      <b/>
      <sz val="11"/>
      <color rgb="FF1D1D1F"/>
      <name val="Calibri"/>
    </font>
    <font>
      <b/>
      <sz val="12"/>
      <color rgb="FF1A8A1A"/>
      <name val="Calibri"/>
    </font>
    <font>
      <sz val="10"/>
      <color rgb="FF86868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AF6EA"/>
      </patternFill>
    </fill>
    <fill>
      <patternFill patternType="solid">
        <fgColor rgb="FF1A8A1A"/>
      </patternFill>
    </fill>
    <fill>
      <patternFill patternType="solid">
        <fgColor rgb="FFF5F5F7"/>
      </patternFill>
    </fill>
    <fill>
      <patternFill patternType="solid">
        <fgColor rgb="FFFF9500"/>
      </patternFill>
    </fill>
    <fill>
      <patternFill patternType="solid">
        <fgColor rgb="FFFFCC00"/>
      </patternFill>
    </fill>
  </fills>
  <borders count="2">
    <border>
      <left/>
      <right/>
      <top/>
      <bottom/>
      <diagonal/>
    </border>
    <border>
      <left style="thin">
        <color rgb="FFE8E8ED"/>
      </left>
      <right style="thin">
        <color rgb="FFE8E8ED"/>
      </right>
      <top style="thin">
        <color rgb="FFE8E8ED"/>
      </top>
      <bottom style="thin">
        <color rgb="FFE8E8E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5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5" fontId="9" fillId="4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10" fillId="0" borderId="0" xfId="0" applyFont="1"/>
    <xf numFmtId="10" fontId="0" fillId="0" borderId="0" xfId="0" applyNumberFormat="1"/>
    <xf numFmtId="164" fontId="0" fillId="0" borderId="0" xfId="0" applyNumberFormat="1"/>
    <xf numFmtId="165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0" borderId="0" xfId="0" applyFont="1"/>
    <xf numFmtId="0" fontId="8" fillId="0" borderId="0" xfId="0" applyFont="1"/>
    <xf numFmtId="0" fontId="15" fillId="0" borderId="0" xfId="0" applyFont="1"/>
    <xf numFmtId="0" fontId="5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s-MX"/>
              <a:t>Ingresos vs EBITDA vs CapEx por año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'Plan 5 años'!$B$4</c:f>
              <c:strCache>
                <c:ptCount val="1"/>
                <c:pt idx="0">
                  <c:v>Ingresos (CLP)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'Plan 5 años'!$A$5:$A$9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'Plan 5 años'!$B$5:$B$9</c:f>
              <c:numCache>
                <c:formatCode>"$"#,##0_);\("$"#,##0\)</c:formatCode>
                <c:ptCount val="5"/>
                <c:pt idx="0">
                  <c:v>3323260869.565217</c:v>
                </c:pt>
                <c:pt idx="1">
                  <c:v>8398637362.6373653</c:v>
                </c:pt>
                <c:pt idx="2">
                  <c:v>15543077839.21736</c:v>
                </c:pt>
                <c:pt idx="3">
                  <c:v>23404392958.54628</c:v>
                </c:pt>
                <c:pt idx="4">
                  <c:v>26764418341.061298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2-45DE-9B46-1C439A1477C7}"/>
            </c:ext>
          </c:extLst>
        </c:ser>
        <c:ser>
          <c:idx val="1"/>
          <c:order val="1"/>
          <c:tx>
            <c:strRef>
              <c:f>'Plan 5 años'!$C$4</c:f>
              <c:strCache>
                <c:ptCount val="1"/>
                <c:pt idx="0">
                  <c:v>EBITDA (CLP)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'Plan 5 años'!$A$5:$A$9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'Plan 5 años'!$C$5:$C$9</c:f>
              <c:numCache>
                <c:formatCode>"$"#,##0_);\("$"#,##0\)</c:formatCode>
                <c:ptCount val="5"/>
                <c:pt idx="0">
                  <c:v>-114306521.7391305</c:v>
                </c:pt>
                <c:pt idx="1">
                  <c:v>2389112142.8571439</c:v>
                </c:pt>
                <c:pt idx="2">
                  <c:v>6506400714.5895376</c:v>
                </c:pt>
                <c:pt idx="3">
                  <c:v>11765001507.6661</c:v>
                </c:pt>
                <c:pt idx="4">
                  <c:v>14094746306.027821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2-45DE-9B46-1C439A1477C7}"/>
            </c:ext>
          </c:extLst>
        </c:ser>
        <c:ser>
          <c:idx val="2"/>
          <c:order val="2"/>
          <c:tx>
            <c:strRef>
              <c:f>'Plan 5 años'!$D$4</c:f>
              <c:strCache>
                <c:ptCount val="1"/>
                <c:pt idx="0">
                  <c:v>CapEx (CLP)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'Plan 5 años'!$A$5:$A$9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'Plan 5 años'!$D$5:$D$9</c:f>
              <c:numCache>
                <c:formatCode>"$"#,##0_);\("$"#,##0\)</c:formatCode>
                <c:ptCount val="5"/>
                <c:pt idx="0">
                  <c:v>3000000000</c:v>
                </c:pt>
                <c:pt idx="1">
                  <c:v>5000000000</c:v>
                </c:pt>
                <c:pt idx="2">
                  <c:v>4000000000</c:v>
                </c:pt>
                <c:pt idx="3">
                  <c:v>2000000000</c:v>
                </c:pt>
                <c:pt idx="4">
                  <c:v>1000000000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62-45DE-9B46-1C439A147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Año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CLP</a:t>
                </a:r>
              </a:p>
            </c:rich>
          </c:tx>
          <c:overlay val="1"/>
        </c:title>
        <c:numFmt formatCode="&quot;$&quot;#,##0_);\(&quot;$&quot;#,##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Distribución MMPP</a:t>
            </a:r>
          </a:p>
        </c:rich>
      </c:tx>
      <c:layout>
        <c:manualLayout>
          <c:xMode val="edge"/>
          <c:yMode val="edge"/>
          <c:x val="0.38570615079365084"/>
          <c:y val="0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'Balance Masa'!$B$4</c:f>
              <c:strCache>
                <c:ptCount val="1"/>
                <c:pt idx="0">
                  <c:v>Volumen anual (ton)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'Balance Masa'!$A$5:$A$9</c:f>
              <c:strCache>
                <c:ptCount val="5"/>
                <c:pt idx="0">
                  <c:v>ALPERUJO</c:v>
                </c:pt>
                <c:pt idx="1">
                  <c:v>TOMASA</c:v>
                </c:pt>
                <c:pt idx="2">
                  <c:v>POMASA</c:v>
                </c:pt>
                <c:pt idx="3">
                  <c:v>ORUJO_UVA</c:v>
                </c:pt>
                <c:pt idx="4">
                  <c:v>LEVADURA</c:v>
                </c:pt>
              </c:strCache>
            </c:strRef>
          </c:cat>
          <c:val>
            <c:numRef>
              <c:f>'Balance Masa'!$B$5:$B$9</c:f>
              <c:numCache>
                <c:formatCode>General</c:formatCode>
                <c:ptCount val="5"/>
                <c:pt idx="0">
                  <c:v>20000</c:v>
                </c:pt>
                <c:pt idx="1">
                  <c:v>12500</c:v>
                </c:pt>
                <c:pt idx="2">
                  <c:v>10000</c:v>
                </c:pt>
                <c:pt idx="3">
                  <c:v>5000</c:v>
                </c:pt>
                <c:pt idx="4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A-4170-8241-42E16C42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workbookViewId="0"/>
  </sheetViews>
  <sheetFormatPr baseColWidth="10" defaultColWidth="9.140625" defaultRowHeight="15" x14ac:dyDescent="0.25"/>
  <cols>
    <col min="1" max="1" width="25" customWidth="1"/>
    <col min="2" max="2" width="10" customWidth="1"/>
    <col min="3" max="4" width="13" customWidth="1"/>
    <col min="5" max="5" width="50" customWidth="1"/>
    <col min="6" max="8" width="12" customWidth="1"/>
  </cols>
  <sheetData>
    <row r="1" spans="1:8" ht="26.25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5" spans="1:8" x14ac:dyDescent="0.25">
      <c r="A5" s="26" t="s">
        <v>3</v>
      </c>
      <c r="B5" s="24"/>
      <c r="C5" s="26" t="s">
        <v>4</v>
      </c>
      <c r="D5" s="24"/>
      <c r="E5" s="26" t="s">
        <v>5</v>
      </c>
      <c r="F5" s="24"/>
      <c r="G5" s="26" t="s">
        <v>6</v>
      </c>
      <c r="H5" s="24"/>
    </row>
    <row r="6" spans="1:8" ht="46.5" x14ac:dyDescent="0.25">
      <c r="A6" s="25" t="s">
        <v>7</v>
      </c>
      <c r="B6" s="24"/>
      <c r="C6" s="25" t="s">
        <v>8</v>
      </c>
      <c r="D6" s="24"/>
      <c r="E6" s="25" t="s">
        <v>9</v>
      </c>
      <c r="F6" s="24"/>
      <c r="G6" s="25" t="s">
        <v>10</v>
      </c>
      <c r="H6" s="24"/>
    </row>
    <row r="9" spans="1:8" ht="18.75" x14ac:dyDescent="0.25">
      <c r="A9" s="23" t="s">
        <v>11</v>
      </c>
      <c r="B9" s="24"/>
      <c r="C9" s="24"/>
      <c r="D9" s="24"/>
      <c r="E9" s="24"/>
      <c r="F9" s="24"/>
      <c r="G9" s="24"/>
      <c r="H9" s="24"/>
    </row>
    <row r="11" spans="1:8" ht="18.75" x14ac:dyDescent="0.3">
      <c r="A11" s="3" t="s">
        <v>12</v>
      </c>
    </row>
    <row r="12" spans="1:8" x14ac:dyDescent="0.25">
      <c r="A12" s="4" t="s">
        <v>13</v>
      </c>
      <c r="B12" s="4" t="s">
        <v>14</v>
      </c>
      <c r="C12" s="4" t="s">
        <v>15</v>
      </c>
      <c r="D12" s="4" t="s">
        <v>16</v>
      </c>
      <c r="E12" s="4" t="s">
        <v>17</v>
      </c>
    </row>
    <row r="13" spans="1:8" x14ac:dyDescent="0.25">
      <c r="A13" s="5" t="s">
        <v>18</v>
      </c>
      <c r="B13" s="5" t="s">
        <v>19</v>
      </c>
      <c r="C13" s="5">
        <v>78.7</v>
      </c>
      <c r="D13" s="5">
        <v>15.7</v>
      </c>
      <c r="E13" s="5" t="s">
        <v>20</v>
      </c>
    </row>
    <row r="14" spans="1:8" x14ac:dyDescent="0.25">
      <c r="A14" s="5" t="s">
        <v>21</v>
      </c>
      <c r="B14" s="5" t="s">
        <v>22</v>
      </c>
      <c r="C14" s="5">
        <v>76.5</v>
      </c>
      <c r="D14" s="5">
        <v>11.5</v>
      </c>
      <c r="E14" s="5" t="s">
        <v>23</v>
      </c>
    </row>
    <row r="15" spans="1:8" x14ac:dyDescent="0.25">
      <c r="A15" s="5" t="s">
        <v>24</v>
      </c>
      <c r="B15" s="5" t="s">
        <v>22</v>
      </c>
      <c r="C15" s="5">
        <v>100</v>
      </c>
      <c r="D15" s="5">
        <v>15</v>
      </c>
      <c r="E15" s="5" t="s">
        <v>25</v>
      </c>
    </row>
    <row r="16" spans="1:8" x14ac:dyDescent="0.25">
      <c r="A16" s="5" t="s">
        <v>26</v>
      </c>
      <c r="B16" s="5" t="s">
        <v>27</v>
      </c>
      <c r="C16" s="5">
        <v>50</v>
      </c>
      <c r="D16" s="5">
        <v>5</v>
      </c>
      <c r="E16" s="5" t="s">
        <v>28</v>
      </c>
    </row>
    <row r="17" spans="1:5" x14ac:dyDescent="0.25">
      <c r="A17" s="5" t="s">
        <v>29</v>
      </c>
      <c r="B17" s="5" t="s">
        <v>27</v>
      </c>
      <c r="C17" s="5">
        <v>100</v>
      </c>
      <c r="D17" s="5">
        <v>10</v>
      </c>
      <c r="E17" s="5" t="s">
        <v>30</v>
      </c>
    </row>
    <row r="18" spans="1:5" x14ac:dyDescent="0.25">
      <c r="A18" s="5" t="s">
        <v>31</v>
      </c>
      <c r="B18" s="5" t="s">
        <v>27</v>
      </c>
      <c r="C18" s="5">
        <v>100</v>
      </c>
      <c r="D18" s="5">
        <v>10</v>
      </c>
      <c r="E18" s="5" t="s">
        <v>32</v>
      </c>
    </row>
    <row r="19" spans="1:5" x14ac:dyDescent="0.25">
      <c r="A19" s="5" t="s">
        <v>33</v>
      </c>
      <c r="B19" s="5" t="s">
        <v>27</v>
      </c>
      <c r="C19" s="5">
        <v>100</v>
      </c>
      <c r="D19" s="5">
        <v>10</v>
      </c>
      <c r="E19" s="5" t="s">
        <v>34</v>
      </c>
    </row>
    <row r="20" spans="1:5" x14ac:dyDescent="0.25">
      <c r="A20" s="5" t="s">
        <v>35</v>
      </c>
      <c r="B20" s="5" t="s">
        <v>27</v>
      </c>
      <c r="C20" s="5">
        <v>75</v>
      </c>
      <c r="D20" s="5">
        <v>7.5</v>
      </c>
      <c r="E20" s="5" t="s">
        <v>36</v>
      </c>
    </row>
  </sheetData>
  <mergeCells count="9">
    <mergeCell ref="A9:H9"/>
    <mergeCell ref="E6:F6"/>
    <mergeCell ref="C6:D6"/>
    <mergeCell ref="C5:D5"/>
    <mergeCell ref="A5:B5"/>
    <mergeCell ref="G5:H5"/>
    <mergeCell ref="E5:F5"/>
    <mergeCell ref="G6:H6"/>
    <mergeCell ref="A6:B6"/>
  </mergeCells>
  <conditionalFormatting sqref="C13:C20">
    <cfRule type="colorScale" priority="1">
      <colorScale>
        <cfvo type="num" val="0"/>
        <cfvo type="num" val="50"/>
        <cfvo type="num" val="100"/>
        <color rgb="FFFF3B30"/>
        <color rgb="FFFFCC00"/>
        <color rgb="FF1A8A1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/>
  </sheetViews>
  <sheetFormatPr baseColWidth="10" defaultColWidth="9.140625" defaultRowHeight="15" x14ac:dyDescent="0.25"/>
  <cols>
    <col min="1" max="1" width="10" customWidth="1"/>
    <col min="2" max="4" width="22" customWidth="1"/>
    <col min="5" max="5" width="18" customWidth="1"/>
    <col min="6" max="6" width="22" customWidth="1"/>
  </cols>
  <sheetData>
    <row r="1" spans="1:6" ht="26.25" x14ac:dyDescent="0.25">
      <c r="A1" s="1" t="s">
        <v>37</v>
      </c>
    </row>
    <row r="2" spans="1:6" x14ac:dyDescent="0.25">
      <c r="A2" s="2" t="s">
        <v>38</v>
      </c>
    </row>
    <row r="4" spans="1:6" x14ac:dyDescent="0.25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</row>
    <row r="5" spans="1:6" x14ac:dyDescent="0.25">
      <c r="A5" s="5">
        <v>1</v>
      </c>
      <c r="B5" s="6">
        <v>3323260869.565217</v>
      </c>
      <c r="C5" s="6">
        <v>-114306521.7391305</v>
      </c>
      <c r="D5" s="6">
        <v>3000000000</v>
      </c>
      <c r="E5" s="7">
        <f>IFERROR(C5/B5, 0)</f>
        <v>-3.4395891934323304E-2</v>
      </c>
      <c r="F5" s="7">
        <f>IFERROR(D5/B5, 0)</f>
        <v>0.90272780794138818</v>
      </c>
    </row>
    <row r="6" spans="1:6" x14ac:dyDescent="0.25">
      <c r="A6" s="5">
        <v>2</v>
      </c>
      <c r="B6" s="6">
        <v>8398637362.6373653</v>
      </c>
      <c r="C6" s="6">
        <v>2389112142.8571439</v>
      </c>
      <c r="D6" s="6">
        <v>5000000000</v>
      </c>
      <c r="E6" s="7">
        <f>IFERROR(C6/B6, 0)</f>
        <v>0.28446425767654621</v>
      </c>
      <c r="F6" s="7">
        <f>IFERROR(D6/B6, 0)</f>
        <v>0.59533466967430593</v>
      </c>
    </row>
    <row r="7" spans="1:6" x14ac:dyDescent="0.25">
      <c r="A7" s="5">
        <v>3</v>
      </c>
      <c r="B7" s="6">
        <v>15543077839.21736</v>
      </c>
      <c r="C7" s="6">
        <v>6506400714.5895376</v>
      </c>
      <c r="D7" s="6">
        <v>4000000000</v>
      </c>
      <c r="E7" s="7">
        <f>IFERROR(C7/B7, 0)</f>
        <v>0.41860439623952589</v>
      </c>
      <c r="F7" s="7">
        <f>IFERROR(D7/B7, 0)</f>
        <v>0.25734928701878085</v>
      </c>
    </row>
    <row r="8" spans="1:6" x14ac:dyDescent="0.25">
      <c r="A8" s="5">
        <v>4</v>
      </c>
      <c r="B8" s="6">
        <v>23404392958.54628</v>
      </c>
      <c r="C8" s="6">
        <v>11765001507.6661</v>
      </c>
      <c r="D8" s="6">
        <v>2000000000</v>
      </c>
      <c r="E8" s="7">
        <f>IFERROR(C8/B8, 0)</f>
        <v>0.5026834717954104</v>
      </c>
      <c r="F8" s="7">
        <f>IFERROR(D8/B8, 0)</f>
        <v>8.5454042903073277E-2</v>
      </c>
    </row>
    <row r="9" spans="1:6" x14ac:dyDescent="0.25">
      <c r="A9" s="5">
        <v>5</v>
      </c>
      <c r="B9" s="6">
        <v>26764418341.061298</v>
      </c>
      <c r="C9" s="6">
        <v>14094746306.027821</v>
      </c>
      <c r="D9" s="6">
        <v>1000000000</v>
      </c>
      <c r="E9" s="7">
        <f>IFERROR(C9/B9, 0)</f>
        <v>0.5266225526150895</v>
      </c>
      <c r="F9" s="7">
        <f>IFERROR(D9/B9, 0)</f>
        <v>3.7363038765009328E-2</v>
      </c>
    </row>
    <row r="10" spans="1:6" x14ac:dyDescent="0.25">
      <c r="A10" s="8" t="s">
        <v>45</v>
      </c>
      <c r="B10" s="9">
        <f>SUM(B5:B9)</f>
        <v>77433787371.027527</v>
      </c>
      <c r="C10" s="9">
        <f>SUM(C5:C9)</f>
        <v>34640954149.401474</v>
      </c>
      <c r="D10" s="9">
        <f>SUM(D5:D9)</f>
        <v>15000000000</v>
      </c>
      <c r="E10" s="10"/>
      <c r="F10" s="10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>
      <selection activeCell="K21" sqref="K21"/>
    </sheetView>
  </sheetViews>
  <sheetFormatPr baseColWidth="10" defaultColWidth="9.140625" defaultRowHeight="15" x14ac:dyDescent="0.25"/>
  <cols>
    <col min="1" max="1" width="15" customWidth="1"/>
    <col min="2" max="2" width="20" customWidth="1"/>
    <col min="3" max="3" width="14" customWidth="1"/>
    <col min="4" max="4" width="22" customWidth="1"/>
    <col min="5" max="5" width="14" customWidth="1"/>
  </cols>
  <sheetData>
    <row r="1" spans="1:5" ht="26.25" x14ac:dyDescent="0.25">
      <c r="A1" s="1" t="s">
        <v>46</v>
      </c>
    </row>
    <row r="2" spans="1:5" x14ac:dyDescent="0.25">
      <c r="A2" s="2" t="s">
        <v>47</v>
      </c>
    </row>
    <row r="4" spans="1:5" x14ac:dyDescent="0.25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</row>
    <row r="5" spans="1:5" x14ac:dyDescent="0.25">
      <c r="A5" s="5" t="s">
        <v>53</v>
      </c>
      <c r="B5" s="5">
        <v>20000</v>
      </c>
      <c r="C5" s="7">
        <v>0.39</v>
      </c>
      <c r="D5" s="5">
        <f>B5*C5</f>
        <v>7800</v>
      </c>
      <c r="E5" s="7">
        <f>D5/SUM($D$5:$D$9)</f>
        <v>0.5512367491166078</v>
      </c>
    </row>
    <row r="6" spans="1:5" x14ac:dyDescent="0.25">
      <c r="A6" s="5" t="s">
        <v>54</v>
      </c>
      <c r="B6" s="5">
        <v>12500</v>
      </c>
      <c r="C6" s="7">
        <v>0.2</v>
      </c>
      <c r="D6" s="5">
        <f>B6*C6</f>
        <v>2500</v>
      </c>
      <c r="E6" s="7">
        <f>D6/SUM($D$5:$D$9)</f>
        <v>0.17667844522968199</v>
      </c>
    </row>
    <row r="7" spans="1:5" x14ac:dyDescent="0.25">
      <c r="A7" s="5" t="s">
        <v>55</v>
      </c>
      <c r="B7" s="5">
        <v>10000</v>
      </c>
      <c r="C7" s="7">
        <v>0.22</v>
      </c>
      <c r="D7" s="5">
        <f>B7*C7</f>
        <v>2200</v>
      </c>
      <c r="E7" s="7">
        <f>D7/SUM($D$5:$D$9)</f>
        <v>0.15547703180212014</v>
      </c>
    </row>
    <row r="8" spans="1:5" x14ac:dyDescent="0.25">
      <c r="A8" s="5" t="s">
        <v>56</v>
      </c>
      <c r="B8" s="5">
        <v>5000</v>
      </c>
      <c r="C8" s="7">
        <v>0.18</v>
      </c>
      <c r="D8" s="5">
        <f>B8*C8</f>
        <v>900</v>
      </c>
      <c r="E8" s="7">
        <f>D8/SUM($D$5:$D$9)</f>
        <v>6.3604240282685506E-2</v>
      </c>
    </row>
    <row r="9" spans="1:5" x14ac:dyDescent="0.25">
      <c r="A9" s="5" t="s">
        <v>57</v>
      </c>
      <c r="B9" s="5">
        <v>2500</v>
      </c>
      <c r="C9" s="7">
        <v>0.3</v>
      </c>
      <c r="D9" s="5">
        <f>B9*C9</f>
        <v>750</v>
      </c>
      <c r="E9" s="7">
        <f>D9/SUM($D$5:$D$9)</f>
        <v>5.3003533568904596E-2</v>
      </c>
    </row>
    <row r="10" spans="1:5" x14ac:dyDescent="0.25">
      <c r="A10" s="8" t="s">
        <v>45</v>
      </c>
      <c r="B10" s="8">
        <f>SUM(B5:B9)</f>
        <v>50000</v>
      </c>
      <c r="C10" s="8"/>
      <c r="D10" s="8">
        <f>SUM(D5:D9)</f>
        <v>14150</v>
      </c>
      <c r="E10" s="8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workbookViewId="0"/>
  </sheetViews>
  <sheetFormatPr baseColWidth="10" defaultColWidth="9.140625" defaultRowHeight="15" x14ac:dyDescent="0.25"/>
  <cols>
    <col min="1" max="1" width="22" customWidth="1"/>
    <col min="2" max="8" width="11" customWidth="1"/>
  </cols>
  <sheetData>
    <row r="1" spans="1:8" ht="26.25" x14ac:dyDescent="0.25">
      <c r="A1" s="1" t="s">
        <v>58</v>
      </c>
    </row>
    <row r="2" spans="1:8" x14ac:dyDescent="0.25">
      <c r="A2" s="2" t="s">
        <v>59</v>
      </c>
    </row>
    <row r="4" spans="1:8" x14ac:dyDescent="0.25">
      <c r="A4" s="4" t="s">
        <v>60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  <c r="H4" s="4" t="s">
        <v>67</v>
      </c>
    </row>
    <row r="5" spans="1:8" x14ac:dyDescent="0.25">
      <c r="A5" s="4" t="s">
        <v>61</v>
      </c>
      <c r="B5" s="11">
        <v>4.5960670995530251E-2</v>
      </c>
      <c r="C5" s="11">
        <v>0.14993399082192149</v>
      </c>
      <c r="D5" s="11">
        <v>0.2471626407749912</v>
      </c>
      <c r="E5" s="11">
        <v>0.33912727604088427</v>
      </c>
      <c r="F5" s="11">
        <v>0.42710459086318681</v>
      </c>
      <c r="G5" s="11">
        <v>0.51201322556285267</v>
      </c>
      <c r="H5" s="11">
        <v>0.59425044499419255</v>
      </c>
    </row>
    <row r="6" spans="1:8" x14ac:dyDescent="0.25">
      <c r="A6" s="4" t="s">
        <v>62</v>
      </c>
      <c r="B6" s="11">
        <v>3.474405772787903E-2</v>
      </c>
      <c r="C6" s="11">
        <v>0.1390380418878516</v>
      </c>
      <c r="D6" s="11">
        <v>0.2364396293058473</v>
      </c>
      <c r="E6" s="11">
        <v>0.32847970633584822</v>
      </c>
      <c r="F6" s="11">
        <v>0.41646497684430828</v>
      </c>
      <c r="G6" s="11">
        <v>0.50133269161990057</v>
      </c>
      <c r="H6" s="11">
        <v>0.58349260205736386</v>
      </c>
    </row>
    <row r="7" spans="1:8" x14ac:dyDescent="0.25">
      <c r="A7" s="4" t="s">
        <v>63</v>
      </c>
      <c r="B7" s="11">
        <v>2.352805919559442E-2</v>
      </c>
      <c r="C7" s="11">
        <v>0.12815797380471999</v>
      </c>
      <c r="D7" s="11">
        <v>0.22574288926923439</v>
      </c>
      <c r="E7" s="11">
        <v>0.31786600827099282</v>
      </c>
      <c r="F7" s="11">
        <v>0.40586513038126371</v>
      </c>
      <c r="G7" s="11">
        <v>0.49069671398162251</v>
      </c>
      <c r="H7" s="11">
        <v>0.57278333454409291</v>
      </c>
    </row>
    <row r="8" spans="1:8" x14ac:dyDescent="0.25">
      <c r="A8" s="4" t="s">
        <v>64</v>
      </c>
      <c r="B8" s="11">
        <v>1.2337698377370421E-2</v>
      </c>
      <c r="C8" s="11">
        <v>0.1173184293545768</v>
      </c>
      <c r="D8" s="11">
        <v>0.21509684413552629</v>
      </c>
      <c r="E8" s="11">
        <v>0.30731052757715571</v>
      </c>
      <c r="F8" s="11">
        <v>0.39532943353569722</v>
      </c>
      <c r="G8" s="11">
        <v>0.48012980178136039</v>
      </c>
      <c r="H8" s="11">
        <v>0.56214735049707931</v>
      </c>
    </row>
    <row r="9" spans="1:8" x14ac:dyDescent="0.25">
      <c r="A9" s="4" t="s">
        <v>65</v>
      </c>
      <c r="B9" s="11">
        <v>1.157614231529269E-3</v>
      </c>
      <c r="C9" s="11">
        <v>0.10650488769457291</v>
      </c>
      <c r="D9" s="11">
        <v>0.2044874167314463</v>
      </c>
      <c r="E9" s="11">
        <v>0.29679940848706549</v>
      </c>
      <c r="F9" s="11">
        <v>0.38484411592314638</v>
      </c>
      <c r="G9" s="11">
        <v>0.46961818048040382</v>
      </c>
      <c r="H9" s="11">
        <v>0.55157080921567747</v>
      </c>
    </row>
    <row r="10" spans="1:8" x14ac:dyDescent="0.25">
      <c r="A10" s="4" t="s">
        <v>66</v>
      </c>
      <c r="B10" s="11">
        <v>-1.0027539954588721E-2</v>
      </c>
      <c r="C10" s="11">
        <v>9.5702940621540611E-2</v>
      </c>
      <c r="D10" s="11">
        <v>0.19390070392831141</v>
      </c>
      <c r="E10" s="11">
        <v>0.28631901178765751</v>
      </c>
      <c r="F10" s="11">
        <v>0.3743956555712189</v>
      </c>
      <c r="G10" s="11">
        <v>0.45914834929738729</v>
      </c>
      <c r="H10" s="11">
        <v>0.54104016478954131</v>
      </c>
    </row>
    <row r="11" spans="1:8" x14ac:dyDescent="0.25">
      <c r="A11" s="4" t="s">
        <v>67</v>
      </c>
      <c r="B11" s="11">
        <v>-2.1192920267691599E-2</v>
      </c>
      <c r="C11" s="11">
        <v>8.4937006794462366E-2</v>
      </c>
      <c r="D11" s="11">
        <v>0.18336085979963659</v>
      </c>
      <c r="E11" s="11">
        <v>0.27589337392813262</v>
      </c>
      <c r="F11" s="11">
        <v>0.36400809074286911</v>
      </c>
      <c r="G11" s="11">
        <v>0.44874444342375508</v>
      </c>
      <c r="H11" s="11">
        <v>0.53057972466607217</v>
      </c>
    </row>
    <row r="14" spans="1:8" x14ac:dyDescent="0.25">
      <c r="A14" s="12" t="s">
        <v>68</v>
      </c>
      <c r="B14" s="13">
        <v>0.30731052757715571</v>
      </c>
    </row>
    <row r="15" spans="1:8" x14ac:dyDescent="0.25">
      <c r="A15" s="12" t="s">
        <v>69</v>
      </c>
      <c r="B15" s="14">
        <v>0.7142857142857143</v>
      </c>
    </row>
    <row r="16" spans="1:8" x14ac:dyDescent="0.25">
      <c r="A16" s="12" t="s">
        <v>70</v>
      </c>
      <c r="B16" s="14">
        <v>0.15</v>
      </c>
    </row>
  </sheetData>
  <conditionalFormatting sqref="B5:H11">
    <cfRule type="colorScale" priority="1">
      <colorScale>
        <cfvo type="min"/>
        <cfvo type="num" val="0.15"/>
        <cfvo type="max"/>
        <color rgb="FFFF3B30"/>
        <color rgb="FFFFCC00"/>
        <color rgb="FF1A8A1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showGridLines="0" workbookViewId="0"/>
  </sheetViews>
  <sheetFormatPr baseColWidth="10" defaultColWidth="9.140625" defaultRowHeight="15" x14ac:dyDescent="0.25"/>
  <cols>
    <col min="1" max="1" width="15" customWidth="1"/>
    <col min="2" max="2" width="22" customWidth="1"/>
    <col min="3" max="3" width="15" customWidth="1"/>
    <col min="4" max="4" width="22" customWidth="1"/>
    <col min="5" max="5" width="16" customWidth="1"/>
  </cols>
  <sheetData>
    <row r="1" spans="1:5" ht="26.25" x14ac:dyDescent="0.25">
      <c r="A1" s="1" t="s">
        <v>71</v>
      </c>
    </row>
    <row r="2" spans="1:5" x14ac:dyDescent="0.25">
      <c r="A2" s="2" t="s">
        <v>72</v>
      </c>
    </row>
    <row r="4" spans="1:5" x14ac:dyDescent="0.25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</row>
    <row r="5" spans="1:5" x14ac:dyDescent="0.25">
      <c r="A5" s="5" t="s">
        <v>78</v>
      </c>
      <c r="B5" s="15">
        <v>9000000000</v>
      </c>
      <c r="C5" s="11">
        <v>0.14832619789788759</v>
      </c>
      <c r="D5" s="15">
        <v>-429999318.5778712</v>
      </c>
      <c r="E5" s="5" t="s">
        <v>79</v>
      </c>
    </row>
    <row r="6" spans="1:5" x14ac:dyDescent="0.25">
      <c r="A6" s="5" t="s">
        <v>80</v>
      </c>
      <c r="B6" s="15">
        <v>15000000000</v>
      </c>
      <c r="C6" s="11">
        <v>0.30731052757715571</v>
      </c>
      <c r="D6" s="15">
        <v>3538279298.2723179</v>
      </c>
      <c r="E6" s="5">
        <v>54</v>
      </c>
    </row>
    <row r="7" spans="1:5" x14ac:dyDescent="0.25">
      <c r="A7" s="5" t="s">
        <v>81</v>
      </c>
      <c r="B7" s="15">
        <v>28000000000</v>
      </c>
      <c r="C7" s="11">
        <v>0.25041583426904229</v>
      </c>
      <c r="D7" s="15">
        <v>3149471217.4130979</v>
      </c>
      <c r="E7" s="5">
        <v>57</v>
      </c>
    </row>
    <row r="9" spans="1:5" ht="30" customHeight="1" x14ac:dyDescent="0.25">
      <c r="A9" s="27" t="s">
        <v>82</v>
      </c>
      <c r="B9" s="24"/>
      <c r="C9" s="24"/>
      <c r="D9" s="24"/>
      <c r="E9" s="24"/>
    </row>
  </sheetData>
  <mergeCells count="1"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showGridLines="0" workbookViewId="0"/>
  </sheetViews>
  <sheetFormatPr baseColWidth="10" defaultColWidth="9.140625" defaultRowHeight="15" x14ac:dyDescent="0.25"/>
  <cols>
    <col min="1" max="1" width="15" customWidth="1"/>
    <col min="2" max="2" width="30" customWidth="1"/>
    <col min="3" max="3" width="26" customWidth="1"/>
    <col min="4" max="4" width="22" customWidth="1"/>
  </cols>
  <sheetData>
    <row r="1" spans="1:4" ht="26.25" x14ac:dyDescent="0.25">
      <c r="A1" s="1" t="s">
        <v>83</v>
      </c>
    </row>
    <row r="2" spans="1:4" x14ac:dyDescent="0.25">
      <c r="A2" s="2" t="s">
        <v>84</v>
      </c>
    </row>
    <row r="4" spans="1:4" x14ac:dyDescent="0.25">
      <c r="A4" s="4" t="s">
        <v>73</v>
      </c>
      <c r="B4" s="4" t="s">
        <v>85</v>
      </c>
      <c r="C4" s="4" t="s">
        <v>86</v>
      </c>
      <c r="D4" s="4" t="s">
        <v>87</v>
      </c>
    </row>
    <row r="5" spans="1:4" x14ac:dyDescent="0.25">
      <c r="A5" s="5" t="s">
        <v>88</v>
      </c>
      <c r="B5" s="16">
        <v>-53312.4</v>
      </c>
      <c r="C5" s="15">
        <v>735711120</v>
      </c>
      <c r="D5" s="17" t="s">
        <v>89</v>
      </c>
    </row>
    <row r="6" spans="1:4" x14ac:dyDescent="0.25">
      <c r="A6" s="5" t="s">
        <v>90</v>
      </c>
      <c r="B6" s="16">
        <v>-138762</v>
      </c>
      <c r="C6" s="15">
        <v>1914915600</v>
      </c>
      <c r="D6" s="17" t="s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showGridLines="0" workbookViewId="0"/>
  </sheetViews>
  <sheetFormatPr baseColWidth="10" defaultColWidth="9.140625" defaultRowHeight="15" x14ac:dyDescent="0.25"/>
  <cols>
    <col min="1" max="1" width="74.42578125" bestFit="1" customWidth="1"/>
    <col min="2" max="2" width="14" customWidth="1"/>
    <col min="3" max="3" width="12" customWidth="1"/>
    <col min="4" max="4" width="22" customWidth="1"/>
    <col min="5" max="5" width="64.42578125" bestFit="1" customWidth="1"/>
  </cols>
  <sheetData>
    <row r="1" spans="1:5" ht="26.25" x14ac:dyDescent="0.25">
      <c r="A1" s="1" t="s">
        <v>91</v>
      </c>
    </row>
    <row r="2" spans="1:5" x14ac:dyDescent="0.25">
      <c r="A2" s="2" t="s">
        <v>92</v>
      </c>
    </row>
    <row r="4" spans="1:5" x14ac:dyDescent="0.25">
      <c r="A4" s="4" t="s">
        <v>93</v>
      </c>
      <c r="B4" s="4" t="s">
        <v>94</v>
      </c>
      <c r="C4" s="4" t="s">
        <v>95</v>
      </c>
      <c r="D4" s="4" t="s">
        <v>96</v>
      </c>
      <c r="E4" s="4" t="s">
        <v>97</v>
      </c>
    </row>
    <row r="5" spans="1:5" x14ac:dyDescent="0.25">
      <c r="A5" s="5" t="s">
        <v>98</v>
      </c>
      <c r="B5" s="5" t="s">
        <v>99</v>
      </c>
      <c r="C5" s="5" t="s">
        <v>100</v>
      </c>
      <c r="D5" s="15"/>
      <c r="E5" s="5" t="s">
        <v>101</v>
      </c>
    </row>
    <row r="6" spans="1:5" x14ac:dyDescent="0.25">
      <c r="A6" s="5" t="s">
        <v>102</v>
      </c>
      <c r="B6" s="5" t="s">
        <v>103</v>
      </c>
      <c r="C6" s="18" t="s">
        <v>104</v>
      </c>
      <c r="D6" s="15">
        <v>80000000</v>
      </c>
      <c r="E6" s="5" t="s">
        <v>105</v>
      </c>
    </row>
    <row r="7" spans="1:5" x14ac:dyDescent="0.25">
      <c r="A7" s="5" t="s">
        <v>106</v>
      </c>
      <c r="B7" s="5" t="s">
        <v>107</v>
      </c>
      <c r="C7" s="19" t="s">
        <v>108</v>
      </c>
      <c r="D7" s="15">
        <v>15000000</v>
      </c>
      <c r="E7" s="5" t="s">
        <v>109</v>
      </c>
    </row>
    <row r="8" spans="1:5" x14ac:dyDescent="0.25">
      <c r="A8" s="5" t="s">
        <v>110</v>
      </c>
      <c r="B8" s="5" t="s">
        <v>111</v>
      </c>
      <c r="C8" s="19" t="s">
        <v>108</v>
      </c>
      <c r="D8" s="15"/>
      <c r="E8" s="5" t="s">
        <v>112</v>
      </c>
    </row>
    <row r="9" spans="1:5" x14ac:dyDescent="0.25">
      <c r="A9" s="5" t="s">
        <v>113</v>
      </c>
      <c r="B9" s="5" t="s">
        <v>114</v>
      </c>
      <c r="C9" s="19" t="s">
        <v>108</v>
      </c>
      <c r="D9" s="15"/>
      <c r="E9" s="5" t="s">
        <v>115</v>
      </c>
    </row>
    <row r="10" spans="1:5" x14ac:dyDescent="0.25">
      <c r="A10" s="5" t="s">
        <v>116</v>
      </c>
      <c r="B10" s="5" t="s">
        <v>117</v>
      </c>
      <c r="C10" s="5" t="s">
        <v>100</v>
      </c>
      <c r="D10" s="15"/>
      <c r="E10" s="5" t="s">
        <v>118</v>
      </c>
    </row>
    <row r="11" spans="1:5" x14ac:dyDescent="0.25">
      <c r="A11" s="5" t="s">
        <v>119</v>
      </c>
      <c r="B11" s="5" t="s">
        <v>120</v>
      </c>
      <c r="C11" s="18" t="s">
        <v>104</v>
      </c>
      <c r="D11" s="15"/>
      <c r="E11" s="5" t="s">
        <v>121</v>
      </c>
    </row>
    <row r="12" spans="1:5" x14ac:dyDescent="0.25">
      <c r="A12" s="5" t="s">
        <v>122</v>
      </c>
      <c r="B12" s="5" t="s">
        <v>123</v>
      </c>
      <c r="C12" s="18" t="s">
        <v>104</v>
      </c>
      <c r="D12" s="15">
        <v>120000000</v>
      </c>
      <c r="E12" s="5" t="s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showGridLines="0" workbookViewId="0">
      <selection activeCell="B5" sqref="B5"/>
    </sheetView>
  </sheetViews>
  <sheetFormatPr baseColWidth="10" defaultColWidth="9.140625" defaultRowHeight="15" x14ac:dyDescent="0.25"/>
  <cols>
    <col min="1" max="1" width="22" customWidth="1"/>
    <col min="2" max="2" width="15" customWidth="1"/>
    <col min="3" max="3" width="10" customWidth="1"/>
  </cols>
  <sheetData>
    <row r="1" spans="1:3" ht="26.25" x14ac:dyDescent="0.25">
      <c r="A1" s="1" t="s">
        <v>125</v>
      </c>
    </row>
    <row r="2" spans="1:3" x14ac:dyDescent="0.25">
      <c r="A2" s="2" t="s">
        <v>126</v>
      </c>
    </row>
    <row r="4" spans="1:3" x14ac:dyDescent="0.25">
      <c r="A4" s="4" t="s">
        <v>127</v>
      </c>
      <c r="B4" s="4" t="s">
        <v>128</v>
      </c>
      <c r="C4" s="4" t="s">
        <v>129</v>
      </c>
    </row>
    <row r="5" spans="1:3" x14ac:dyDescent="0.25">
      <c r="A5" s="5" t="s">
        <v>130</v>
      </c>
      <c r="B5" s="5">
        <v>899.86</v>
      </c>
      <c r="C5" s="5" t="s">
        <v>131</v>
      </c>
    </row>
    <row r="6" spans="1:3" x14ac:dyDescent="0.25">
      <c r="A6" s="5" t="s">
        <v>132</v>
      </c>
      <c r="B6" s="5">
        <v>40509.29</v>
      </c>
      <c r="C6" s="5" t="s">
        <v>131</v>
      </c>
    </row>
    <row r="7" spans="1:3" x14ac:dyDescent="0.25">
      <c r="A7" s="5" t="s">
        <v>133</v>
      </c>
      <c r="B7" s="5">
        <v>-0.2</v>
      </c>
      <c r="C7" s="5" t="s">
        <v>134</v>
      </c>
    </row>
    <row r="8" spans="1:3" x14ac:dyDescent="0.25">
      <c r="A8" s="5" t="s">
        <v>135</v>
      </c>
      <c r="B8" s="5">
        <v>4.5</v>
      </c>
      <c r="C8" s="5" t="s">
        <v>134</v>
      </c>
    </row>
    <row r="9" spans="1:3" x14ac:dyDescent="0.25">
      <c r="A9" s="5" t="s">
        <v>136</v>
      </c>
      <c r="B9" s="5">
        <v>8.93</v>
      </c>
      <c r="C9" s="5" t="s">
        <v>134</v>
      </c>
    </row>
    <row r="11" spans="1:3" x14ac:dyDescent="0.25">
      <c r="A11" s="2" t="s">
        <v>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showGridLines="0" workbookViewId="0"/>
  </sheetViews>
  <sheetFormatPr baseColWidth="10" defaultColWidth="9.140625" defaultRowHeight="15" x14ac:dyDescent="0.25"/>
  <cols>
    <col min="1" max="1" width="28" customWidth="1"/>
    <col min="2" max="2" width="18" customWidth="1"/>
    <col min="3" max="3" width="14" customWidth="1"/>
    <col min="4" max="4" width="55" customWidth="1"/>
  </cols>
  <sheetData>
    <row r="1" spans="1:4" ht="26.25" x14ac:dyDescent="0.25">
      <c r="A1" s="1" t="s">
        <v>138</v>
      </c>
    </row>
    <row r="2" spans="1:4" x14ac:dyDescent="0.25">
      <c r="A2" s="2" t="s">
        <v>139</v>
      </c>
    </row>
    <row r="4" spans="1:4" x14ac:dyDescent="0.25">
      <c r="A4" s="4" t="s">
        <v>140</v>
      </c>
      <c r="B4" s="4" t="s">
        <v>128</v>
      </c>
      <c r="C4" s="4" t="s">
        <v>129</v>
      </c>
      <c r="D4" s="4" t="s">
        <v>141</v>
      </c>
    </row>
    <row r="5" spans="1:4" x14ac:dyDescent="0.25">
      <c r="A5" s="5" t="s">
        <v>142</v>
      </c>
      <c r="B5" s="5">
        <v>50000</v>
      </c>
      <c r="C5" s="5" t="s">
        <v>143</v>
      </c>
      <c r="D5" s="5" t="s">
        <v>144</v>
      </c>
    </row>
    <row r="6" spans="1:4" x14ac:dyDescent="0.25">
      <c r="A6" s="5" t="s">
        <v>145</v>
      </c>
      <c r="B6" s="5">
        <v>0.18</v>
      </c>
      <c r="C6" s="5" t="s">
        <v>146</v>
      </c>
      <c r="D6" s="5" t="s">
        <v>147</v>
      </c>
    </row>
    <row r="7" spans="1:4" x14ac:dyDescent="0.25">
      <c r="A7" s="5" t="s">
        <v>148</v>
      </c>
      <c r="B7" s="5">
        <v>30</v>
      </c>
      <c r="C7" s="5" t="s">
        <v>149</v>
      </c>
      <c r="D7" s="5" t="s">
        <v>150</v>
      </c>
    </row>
    <row r="8" spans="1:4" x14ac:dyDescent="0.25">
      <c r="A8" s="5" t="s">
        <v>151</v>
      </c>
      <c r="B8" s="5">
        <v>0.22</v>
      </c>
      <c r="C8" s="5" t="s">
        <v>152</v>
      </c>
      <c r="D8" s="5" t="s">
        <v>153</v>
      </c>
    </row>
    <row r="9" spans="1:4" x14ac:dyDescent="0.25">
      <c r="A9" s="5" t="s">
        <v>154</v>
      </c>
      <c r="B9" s="5">
        <v>0.27</v>
      </c>
      <c r="C9" s="5" t="s">
        <v>155</v>
      </c>
      <c r="D9" s="5" t="s">
        <v>156</v>
      </c>
    </row>
    <row r="10" spans="1:4" x14ac:dyDescent="0.25">
      <c r="A10" s="5" t="s">
        <v>157</v>
      </c>
      <c r="B10" s="5">
        <v>80000000</v>
      </c>
      <c r="C10" s="5" t="s">
        <v>131</v>
      </c>
      <c r="D10" s="5" t="s">
        <v>158</v>
      </c>
    </row>
    <row r="11" spans="1:4" x14ac:dyDescent="0.25">
      <c r="A11" s="5" t="s">
        <v>159</v>
      </c>
      <c r="B11" s="5">
        <v>50</v>
      </c>
      <c r="C11" s="5" t="s">
        <v>160</v>
      </c>
      <c r="D11" s="5" t="s">
        <v>161</v>
      </c>
    </row>
    <row r="12" spans="1:4" x14ac:dyDescent="0.25">
      <c r="A12" s="5" t="s">
        <v>162</v>
      </c>
      <c r="B12" s="5">
        <v>35</v>
      </c>
      <c r="C12" s="5" t="s">
        <v>160</v>
      </c>
      <c r="D12" s="5" t="s">
        <v>163</v>
      </c>
    </row>
    <row r="13" spans="1:4" x14ac:dyDescent="0.25">
      <c r="A13" s="5" t="s">
        <v>164</v>
      </c>
      <c r="B13" s="5">
        <v>90</v>
      </c>
      <c r="C13" s="5" t="s">
        <v>160</v>
      </c>
      <c r="D13" s="5" t="s">
        <v>165</v>
      </c>
    </row>
    <row r="14" spans="1:4" x14ac:dyDescent="0.25">
      <c r="A14" s="5" t="s">
        <v>166</v>
      </c>
      <c r="B14" s="5">
        <v>800</v>
      </c>
      <c r="C14" s="5" t="s">
        <v>149</v>
      </c>
      <c r="D14" s="5" t="s">
        <v>167</v>
      </c>
    </row>
    <row r="15" spans="1:4" x14ac:dyDescent="0.25">
      <c r="A15" s="5" t="s">
        <v>168</v>
      </c>
      <c r="B15" s="5">
        <v>600</v>
      </c>
      <c r="C15" s="5" t="s">
        <v>149</v>
      </c>
      <c r="D15" s="5" t="s">
        <v>169</v>
      </c>
    </row>
    <row r="16" spans="1:4" x14ac:dyDescent="0.25">
      <c r="A16" s="5" t="s">
        <v>170</v>
      </c>
      <c r="B16" s="5">
        <v>80000</v>
      </c>
      <c r="C16" s="5" t="s">
        <v>149</v>
      </c>
      <c r="D16" s="5" t="s">
        <v>171</v>
      </c>
    </row>
    <row r="17" spans="1:4" x14ac:dyDescent="0.25">
      <c r="A17" s="5" t="s">
        <v>172</v>
      </c>
      <c r="B17" s="5">
        <v>25000</v>
      </c>
      <c r="C17" s="5" t="s">
        <v>149</v>
      </c>
      <c r="D17" s="5" t="s">
        <v>173</v>
      </c>
    </row>
    <row r="18" spans="1:4" x14ac:dyDescent="0.25">
      <c r="A18" s="5" t="s">
        <v>174</v>
      </c>
      <c r="B18" s="5">
        <v>0.39</v>
      </c>
      <c r="C18" s="5" t="s">
        <v>175</v>
      </c>
      <c r="D18" s="5" t="s">
        <v>176</v>
      </c>
    </row>
    <row r="19" spans="1:4" x14ac:dyDescent="0.25">
      <c r="A19" s="5" t="s">
        <v>177</v>
      </c>
      <c r="B19" s="5">
        <v>0.22</v>
      </c>
      <c r="C19" s="5" t="s">
        <v>175</v>
      </c>
      <c r="D19" s="5" t="s">
        <v>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0"/>
  <sheetViews>
    <sheetView showGridLines="0" workbookViewId="0"/>
  </sheetViews>
  <sheetFormatPr baseColWidth="10" defaultColWidth="9.140625" defaultRowHeight="15" x14ac:dyDescent="0.25"/>
  <cols>
    <col min="1" max="1" width="45" customWidth="1"/>
    <col min="2" max="2" width="80" customWidth="1"/>
  </cols>
  <sheetData>
    <row r="1" spans="1:2" ht="26.25" x14ac:dyDescent="0.25">
      <c r="A1" s="1" t="s">
        <v>179</v>
      </c>
    </row>
    <row r="2" spans="1:2" x14ac:dyDescent="0.25">
      <c r="A2" s="2" t="s">
        <v>180</v>
      </c>
    </row>
    <row r="5" spans="1:2" ht="15.75" x14ac:dyDescent="0.25">
      <c r="A5" s="20" t="s">
        <v>181</v>
      </c>
    </row>
    <row r="6" spans="1:2" x14ac:dyDescent="0.25">
      <c r="A6" s="21" t="s">
        <v>182</v>
      </c>
      <c r="B6" s="22" t="s">
        <v>183</v>
      </c>
    </row>
    <row r="7" spans="1:2" x14ac:dyDescent="0.25">
      <c r="A7" s="21" t="s">
        <v>184</v>
      </c>
      <c r="B7" s="22" t="s">
        <v>185</v>
      </c>
    </row>
    <row r="8" spans="1:2" x14ac:dyDescent="0.25">
      <c r="A8" s="21" t="s">
        <v>186</v>
      </c>
      <c r="B8" s="22" t="s">
        <v>187</v>
      </c>
    </row>
    <row r="9" spans="1:2" x14ac:dyDescent="0.25">
      <c r="A9" s="21" t="s">
        <v>188</v>
      </c>
      <c r="B9" s="22" t="s">
        <v>189</v>
      </c>
    </row>
    <row r="10" spans="1:2" x14ac:dyDescent="0.25">
      <c r="A10" s="21" t="s">
        <v>190</v>
      </c>
      <c r="B10" s="22" t="s">
        <v>191</v>
      </c>
    </row>
    <row r="11" spans="1:2" x14ac:dyDescent="0.25">
      <c r="A11" s="21" t="s">
        <v>192</v>
      </c>
      <c r="B11" s="22" t="s">
        <v>193</v>
      </c>
    </row>
    <row r="12" spans="1:2" x14ac:dyDescent="0.25">
      <c r="A12" s="21" t="s">
        <v>194</v>
      </c>
      <c r="B12" s="22" t="s">
        <v>195</v>
      </c>
    </row>
    <row r="13" spans="1:2" x14ac:dyDescent="0.25">
      <c r="A13" s="21" t="s">
        <v>196</v>
      </c>
      <c r="B13" s="22" t="s">
        <v>197</v>
      </c>
    </row>
    <row r="14" spans="1:2" x14ac:dyDescent="0.25">
      <c r="A14" s="21" t="s">
        <v>198</v>
      </c>
      <c r="B14" s="22" t="s">
        <v>199</v>
      </c>
    </row>
    <row r="16" spans="1:2" ht="15.75" x14ac:dyDescent="0.25">
      <c r="A16" s="20" t="s">
        <v>200</v>
      </c>
    </row>
    <row r="17" spans="1:2" x14ac:dyDescent="0.25">
      <c r="A17" s="21" t="s">
        <v>201</v>
      </c>
      <c r="B17" s="22" t="s">
        <v>202</v>
      </c>
    </row>
    <row r="18" spans="1:2" x14ac:dyDescent="0.25">
      <c r="A18" s="21" t="s">
        <v>203</v>
      </c>
      <c r="B18" s="22" t="s">
        <v>204</v>
      </c>
    </row>
    <row r="19" spans="1:2" x14ac:dyDescent="0.25">
      <c r="A19" s="21" t="s">
        <v>205</v>
      </c>
      <c r="B19" s="22" t="s">
        <v>206</v>
      </c>
    </row>
    <row r="21" spans="1:2" ht="15.75" x14ac:dyDescent="0.25">
      <c r="A21" s="20" t="s">
        <v>207</v>
      </c>
    </row>
    <row r="22" spans="1:2" x14ac:dyDescent="0.25">
      <c r="A22" s="21" t="s">
        <v>208</v>
      </c>
      <c r="B22" s="22" t="s">
        <v>209</v>
      </c>
    </row>
    <row r="23" spans="1:2" x14ac:dyDescent="0.25">
      <c r="A23" s="21" t="s">
        <v>210</v>
      </c>
      <c r="B23" s="22" t="s">
        <v>211</v>
      </c>
    </row>
    <row r="24" spans="1:2" x14ac:dyDescent="0.25">
      <c r="A24" s="21" t="s">
        <v>212</v>
      </c>
      <c r="B24" s="22" t="s">
        <v>213</v>
      </c>
    </row>
    <row r="25" spans="1:2" x14ac:dyDescent="0.25">
      <c r="A25" s="21" t="s">
        <v>214</v>
      </c>
      <c r="B25" s="22" t="s">
        <v>215</v>
      </c>
    </row>
    <row r="26" spans="1:2" x14ac:dyDescent="0.25">
      <c r="A26" s="21" t="s">
        <v>216</v>
      </c>
      <c r="B26" s="22" t="s">
        <v>217</v>
      </c>
    </row>
    <row r="28" spans="1:2" ht="15.75" x14ac:dyDescent="0.25">
      <c r="A28" s="20" t="s">
        <v>218</v>
      </c>
    </row>
    <row r="29" spans="1:2" ht="15.75" x14ac:dyDescent="0.25">
      <c r="A29" s="20" t="s">
        <v>219</v>
      </c>
    </row>
    <row r="30" spans="1:2" x14ac:dyDescent="0.25">
      <c r="A30" s="21" t="s">
        <v>201</v>
      </c>
      <c r="B30" s="22" t="s">
        <v>220</v>
      </c>
    </row>
    <row r="31" spans="1:2" x14ac:dyDescent="0.25">
      <c r="A31" s="21" t="s">
        <v>203</v>
      </c>
      <c r="B31" s="22" t="s">
        <v>221</v>
      </c>
    </row>
    <row r="32" spans="1:2" x14ac:dyDescent="0.25">
      <c r="A32" s="21" t="s">
        <v>205</v>
      </c>
      <c r="B32" s="22" t="s">
        <v>222</v>
      </c>
    </row>
    <row r="34" spans="1:1" ht="15.75" x14ac:dyDescent="0.25">
      <c r="A34" s="20" t="s">
        <v>223</v>
      </c>
    </row>
    <row r="35" spans="1:1" ht="15.75" x14ac:dyDescent="0.25">
      <c r="A35" s="20" t="s">
        <v>224</v>
      </c>
    </row>
    <row r="36" spans="1:1" ht="15.75" x14ac:dyDescent="0.25">
      <c r="A36" s="20" t="s">
        <v>225</v>
      </c>
    </row>
    <row r="37" spans="1:1" ht="15.75" x14ac:dyDescent="0.25">
      <c r="A37" s="20" t="s">
        <v>226</v>
      </c>
    </row>
    <row r="38" spans="1:1" ht="15.75" x14ac:dyDescent="0.25">
      <c r="A38" s="20" t="s">
        <v>227</v>
      </c>
    </row>
    <row r="39" spans="1:1" ht="15.75" x14ac:dyDescent="0.25">
      <c r="A39" s="20" t="s">
        <v>228</v>
      </c>
    </row>
    <row r="40" spans="1:1" ht="15.75" x14ac:dyDescent="0.25">
      <c r="A40" s="20" t="s">
        <v>229</v>
      </c>
    </row>
    <row r="41" spans="1:1" ht="15.75" x14ac:dyDescent="0.25">
      <c r="A41" s="20" t="s">
        <v>230</v>
      </c>
    </row>
    <row r="43" spans="1:1" ht="15.75" x14ac:dyDescent="0.25">
      <c r="A43" s="20" t="s">
        <v>231</v>
      </c>
    </row>
    <row r="44" spans="1:1" ht="15.75" x14ac:dyDescent="0.25">
      <c r="A44" s="20" t="s">
        <v>232</v>
      </c>
    </row>
    <row r="45" spans="1:1" ht="15.75" x14ac:dyDescent="0.25">
      <c r="A45" s="20" t="s">
        <v>233</v>
      </c>
    </row>
    <row r="46" spans="1:1" ht="15.75" x14ac:dyDescent="0.25">
      <c r="A46" s="20" t="s">
        <v>234</v>
      </c>
    </row>
    <row r="47" spans="1:1" ht="15.75" x14ac:dyDescent="0.25">
      <c r="A47" s="20" t="s">
        <v>230</v>
      </c>
    </row>
    <row r="49" spans="1:2" x14ac:dyDescent="0.25">
      <c r="A49" s="21" t="s">
        <v>235</v>
      </c>
      <c r="B49" s="22" t="s">
        <v>236</v>
      </c>
    </row>
    <row r="50" spans="1:2" x14ac:dyDescent="0.25">
      <c r="A50" s="21" t="s">
        <v>237</v>
      </c>
      <c r="B50" s="22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Dashboard</vt:lpstr>
      <vt:lpstr>Plan 5 años</vt:lpstr>
      <vt:lpstr>Balance Masa</vt:lpstr>
      <vt:lpstr>Sensibilidad</vt:lpstr>
      <vt:lpstr>Escenarios</vt:lpstr>
      <vt:lpstr>Carbono LCA</vt:lpstr>
      <vt:lpstr>Compliance REP</vt:lpstr>
      <vt:lpstr>Macro Chile</vt:lpstr>
      <vt:lpstr>Supuestos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Rietta González</cp:lastModifiedBy>
  <dcterms:created xsi:type="dcterms:W3CDTF">2026-05-25T20:40:25Z</dcterms:created>
  <dcterms:modified xsi:type="dcterms:W3CDTF">2026-05-25T21:16:57Z</dcterms:modified>
</cp:coreProperties>
</file>
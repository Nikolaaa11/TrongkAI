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50" windowHeight="4580" activeTab="1"/>
  </bookViews>
  <sheets>
    <sheet name="IngresosCostos Proveedores" sheetId="1" r:id="rId1"/>
    <sheet name="Base rendimiento" sheetId="2" r:id="rId2"/>
    <sheet name="Hoja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7" i="1"/>
  <c r="J8" i="1" l="1"/>
  <c r="J9" i="1"/>
  <c r="J10" i="1"/>
  <c r="J7" i="1"/>
  <c r="E8" i="1"/>
  <c r="D7" i="1"/>
</calcChain>
</file>

<file path=xl/sharedStrings.xml><?xml version="1.0" encoding="utf-8"?>
<sst xmlns="http://schemas.openxmlformats.org/spreadsheetml/2006/main" count="54" uniqueCount="53">
  <si>
    <t>Alperujo de Olivas</t>
  </si>
  <si>
    <t>Olivero 1</t>
  </si>
  <si>
    <t>Olivero 2</t>
  </si>
  <si>
    <t>Olivero 3</t>
  </si>
  <si>
    <t>Olivero 4</t>
  </si>
  <si>
    <t>Olivero 5</t>
  </si>
  <si>
    <t>Olivero 6</t>
  </si>
  <si>
    <t>Olivero 7</t>
  </si>
  <si>
    <t>Olivero 8</t>
  </si>
  <si>
    <t>Olivero 9</t>
  </si>
  <si>
    <t>Olivero 10</t>
  </si>
  <si>
    <t>Distancia Kms</t>
  </si>
  <si>
    <t>Volumen</t>
  </si>
  <si>
    <t>Tons</t>
  </si>
  <si>
    <t>residuos $ x Kg</t>
  </si>
  <si>
    <t>Caso 1</t>
  </si>
  <si>
    <t>Caso 2</t>
  </si>
  <si>
    <t xml:space="preserve">Caso 3 </t>
  </si>
  <si>
    <t>No pagamos Flete y no le pagamos ni cobramos por recepcion de residuos</t>
  </si>
  <si>
    <t>Caso 4</t>
  </si>
  <si>
    <t>No pagamos Flete y si cobramos por recepcion de residuos</t>
  </si>
  <si>
    <t>Pagamos Flete y si nos paga por recepcion residuos</t>
  </si>
  <si>
    <t>Pagamos flete y nos cobra x enviarnos sus residuos</t>
  </si>
  <si>
    <t>Valor flete $ x KM</t>
  </si>
  <si>
    <t>Unitario</t>
  </si>
  <si>
    <t>Pago x Recepcion</t>
  </si>
  <si>
    <t>Camiones (Capac. Tons)</t>
  </si>
  <si>
    <t>A.-</t>
  </si>
  <si>
    <t>B.-</t>
  </si>
  <si>
    <t>Ejemplo</t>
  </si>
  <si>
    <t>Alperujo</t>
  </si>
  <si>
    <t>Humedad</t>
  </si>
  <si>
    <t>Aceite extraible</t>
  </si>
  <si>
    <t>Materia Seca Final</t>
  </si>
  <si>
    <t>Sobre qué base?</t>
  </si>
  <si>
    <t>Materia sólida</t>
  </si>
  <si>
    <t>A.- s/Base inicial</t>
  </si>
  <si>
    <t>B.-s/Base deshidratada</t>
  </si>
  <si>
    <t>Opciones cálculo</t>
  </si>
  <si>
    <t>Materia seca neta</t>
  </si>
  <si>
    <t>55% Base Inicial</t>
  </si>
  <si>
    <t>Reducción Humedad</t>
  </si>
  <si>
    <t>Humedad*</t>
  </si>
  <si>
    <t>55% Base Inicial*</t>
  </si>
  <si>
    <t>???</t>
  </si>
  <si>
    <t>Base sobre las que se aplican las reducciones de humedad</t>
  </si>
  <si>
    <t>(60,5% menos humedad?)</t>
  </si>
  <si>
    <t>Matriz de Ingresos(gastos) con Proveedores de residuos/MMPP/Subproductos</t>
  </si>
  <si>
    <t>Ingreso</t>
  </si>
  <si>
    <t>Costo</t>
  </si>
  <si>
    <t>Rendimientos en % de Materia seca final</t>
  </si>
  <si>
    <t>Target es 10% humedad final</t>
  </si>
  <si>
    <t>Definiciones por Rendimiento y 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</si>
</sst>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 * #,##0_ ;_ * \-#,##0_ ;_ * &quot;-&quot;_ ;_ @_ "/>
    <numFmt numFmtId="164" formatCode="_ * #,##0.0_ ;_ * \-#,##0.0_ ;_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1" fontId="0" fillId="0" borderId="0" xfId="1" applyFont="1" applyAlignme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1" fontId="0" fillId="0" borderId="0" xfId="1" applyFont="1" applyAlignment="1">
      <alignment horizontal="right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4" fontId="0" fillId="0" borderId="0" xfId="0" applyNumberFormat="1" applyAlignment="1"/>
    <xf numFmtId="0" fontId="4" fillId="0" borderId="0" xfId="0" applyFon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" fillId="6" borderId="0" xfId="0" applyFont="1" applyFill="1"/>
    <xf numFmtId="0" fontId="3" fillId="6" borderId="0" xfId="0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6"/>
  <sheetViews>
    <sheetView topLeftCell="B1" workbookViewId="0">
      <selection activeCell="J21" sqref="J21"/>
    </sheetView>
  </sheetViews>
  <sheetFormatPr baseColWidth="10" defaultRowHeight="14.5" x14ac:dyDescent="0.35"/>
  <cols>
    <col min="1" max="1" width="2.26953125" customWidth="1"/>
    <col min="2" max="2" width="23.90625" customWidth="1"/>
    <col min="3" max="3" width="13.7265625" customWidth="1"/>
    <col min="5" max="5" width="10.7265625" customWidth="1"/>
    <col min="6" max="6" width="10.453125" customWidth="1"/>
    <col min="7" max="7" width="10.81640625" customWidth="1"/>
    <col min="8" max="8" width="17.7265625" customWidth="1"/>
    <col min="9" max="9" width="11" customWidth="1"/>
    <col min="10" max="10" width="21.7265625" customWidth="1"/>
    <col min="11" max="11" width="7.26953125" customWidth="1"/>
  </cols>
  <sheetData>
    <row r="2" spans="2:12" ht="21" x14ac:dyDescent="0.5">
      <c r="C2" s="1" t="s">
        <v>47</v>
      </c>
    </row>
    <row r="3" spans="2:12" ht="21" x14ac:dyDescent="0.5">
      <c r="C3" s="1"/>
    </row>
    <row r="4" spans="2:12" x14ac:dyDescent="0.35">
      <c r="D4" t="s">
        <v>49</v>
      </c>
      <c r="H4" t="s">
        <v>48</v>
      </c>
    </row>
    <row r="5" spans="2:12" ht="18.5" x14ac:dyDescent="0.45">
      <c r="B5" s="17" t="s">
        <v>0</v>
      </c>
      <c r="C5" s="7"/>
      <c r="D5" s="6" t="s">
        <v>23</v>
      </c>
      <c r="E5" s="7"/>
      <c r="F5" s="7"/>
      <c r="G5" s="7"/>
      <c r="H5" s="8" t="s">
        <v>25</v>
      </c>
      <c r="I5" s="9" t="s">
        <v>12</v>
      </c>
      <c r="J5" s="11" t="s">
        <v>26</v>
      </c>
    </row>
    <row r="6" spans="2:12" x14ac:dyDescent="0.35">
      <c r="C6" s="3" t="s">
        <v>11</v>
      </c>
      <c r="D6" s="4">
        <v>1800</v>
      </c>
      <c r="E6" s="4">
        <v>2100</v>
      </c>
      <c r="F6" s="4">
        <v>2500</v>
      </c>
      <c r="G6" s="4" t="s">
        <v>24</v>
      </c>
      <c r="H6" s="8" t="s">
        <v>14</v>
      </c>
      <c r="I6" s="9" t="s">
        <v>13</v>
      </c>
      <c r="J6" s="12">
        <v>25</v>
      </c>
    </row>
    <row r="7" spans="2:12" x14ac:dyDescent="0.35">
      <c r="B7" t="s">
        <v>1</v>
      </c>
      <c r="C7" s="2">
        <v>82</v>
      </c>
      <c r="D7" s="10">
        <f>C7*D6</f>
        <v>147600</v>
      </c>
      <c r="E7" s="2"/>
      <c r="F7" s="2"/>
      <c r="G7" s="13">
        <f>(D7/$J$6)/1000</f>
        <v>5.9039999999999999</v>
      </c>
      <c r="H7" s="2">
        <v>-10</v>
      </c>
      <c r="I7" s="2">
        <v>500</v>
      </c>
      <c r="J7" s="2">
        <f>I7/$J$6</f>
        <v>20</v>
      </c>
      <c r="K7" t="s">
        <v>15</v>
      </c>
      <c r="L7" t="s">
        <v>22</v>
      </c>
    </row>
    <row r="8" spans="2:12" x14ac:dyDescent="0.35">
      <c r="B8" t="s">
        <v>2</v>
      </c>
      <c r="C8" s="2">
        <v>120</v>
      </c>
      <c r="D8" s="2"/>
      <c r="E8" s="5">
        <f>C8*E6</f>
        <v>252000</v>
      </c>
      <c r="F8" s="2"/>
      <c r="G8" s="13">
        <f>(E8/J6)/1000</f>
        <v>10.08</v>
      </c>
      <c r="H8" s="2">
        <v>5</v>
      </c>
      <c r="I8" s="2">
        <v>1000</v>
      </c>
      <c r="J8" s="2">
        <f t="shared" ref="J8:J10" si="0">I8/$J$6</f>
        <v>40</v>
      </c>
      <c r="K8" t="s">
        <v>16</v>
      </c>
      <c r="L8" t="s">
        <v>21</v>
      </c>
    </row>
    <row r="9" spans="2:12" x14ac:dyDescent="0.35">
      <c r="B9" t="s">
        <v>3</v>
      </c>
      <c r="C9" s="2">
        <v>25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2000</v>
      </c>
      <c r="J9" s="2">
        <f t="shared" si="0"/>
        <v>80</v>
      </c>
      <c r="K9" t="s">
        <v>17</v>
      </c>
      <c r="L9" t="s">
        <v>18</v>
      </c>
    </row>
    <row r="10" spans="2:12" x14ac:dyDescent="0.35">
      <c r="B10" t="s">
        <v>4</v>
      </c>
      <c r="C10" s="2">
        <v>70</v>
      </c>
      <c r="D10" s="2">
        <v>0</v>
      </c>
      <c r="E10" s="2">
        <v>0</v>
      </c>
      <c r="F10" s="2">
        <v>0</v>
      </c>
      <c r="G10" s="2">
        <v>0</v>
      </c>
      <c r="H10" s="2">
        <v>18</v>
      </c>
      <c r="I10" s="2">
        <v>1000</v>
      </c>
      <c r="J10" s="2">
        <f t="shared" si="0"/>
        <v>40</v>
      </c>
      <c r="K10" t="s">
        <v>19</v>
      </c>
      <c r="L10" t="s">
        <v>20</v>
      </c>
    </row>
    <row r="11" spans="2:12" x14ac:dyDescent="0.35">
      <c r="B11" t="s">
        <v>5</v>
      </c>
    </row>
    <row r="12" spans="2:12" x14ac:dyDescent="0.35">
      <c r="B12" t="s">
        <v>6</v>
      </c>
    </row>
    <row r="13" spans="2:12" x14ac:dyDescent="0.35">
      <c r="B13" t="s">
        <v>7</v>
      </c>
    </row>
    <row r="14" spans="2:12" x14ac:dyDescent="0.35">
      <c r="B14" t="s">
        <v>8</v>
      </c>
    </row>
    <row r="15" spans="2:12" x14ac:dyDescent="0.35">
      <c r="B15" t="s">
        <v>9</v>
      </c>
    </row>
    <row r="16" spans="2:12" x14ac:dyDescent="0.35">
      <c r="B16" t="s">
        <v>10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4"/>
  <sheetViews>
    <sheetView tabSelected="1" workbookViewId="0">
      <selection activeCell="C5" sqref="C5"/>
    </sheetView>
  </sheetViews>
  <sheetFormatPr baseColWidth="10" defaultRowHeight="14.5" x14ac:dyDescent="0.35"/>
  <cols>
    <col min="1" max="1" width="3.7265625" customWidth="1"/>
    <col min="2" max="2" width="11.54296875" customWidth="1"/>
    <col min="5" max="5" width="14" customWidth="1"/>
    <col min="6" max="6" width="15.81640625" customWidth="1"/>
    <col min="7" max="7" width="22" customWidth="1"/>
    <col min="8" max="8" width="23.26953125" customWidth="1"/>
    <col min="9" max="9" width="18.1796875" customWidth="1"/>
    <col min="11" max="11" width="16.7265625" customWidth="1"/>
  </cols>
  <sheetData>
    <row r="4" spans="2:12" ht="18.5" x14ac:dyDescent="0.45">
      <c r="C4" s="14" t="s">
        <v>52</v>
      </c>
    </row>
    <row r="5" spans="2:12" x14ac:dyDescent="0.35">
      <c r="B5" t="s">
        <v>27</v>
      </c>
      <c r="C5" t="s">
        <v>50</v>
      </c>
    </row>
    <row r="6" spans="2:12" x14ac:dyDescent="0.35">
      <c r="B6" t="s">
        <v>28</v>
      </c>
      <c r="C6" t="s">
        <v>45</v>
      </c>
    </row>
    <row r="7" spans="2:12" x14ac:dyDescent="0.35">
      <c r="C7" t="s">
        <v>51</v>
      </c>
    </row>
    <row r="9" spans="2:12" ht="18.5" x14ac:dyDescent="0.45">
      <c r="B9" s="14" t="s">
        <v>29</v>
      </c>
    </row>
    <row r="10" spans="2:12" ht="15.5" x14ac:dyDescent="0.35">
      <c r="C10" s="18" t="s">
        <v>30</v>
      </c>
      <c r="I10" t="s">
        <v>34</v>
      </c>
    </row>
    <row r="11" spans="2:12" x14ac:dyDescent="0.35">
      <c r="D11" s="2" t="s">
        <v>31</v>
      </c>
      <c r="E11" s="2" t="s">
        <v>35</v>
      </c>
      <c r="F11" s="2" t="s">
        <v>32</v>
      </c>
      <c r="G11" s="2" t="s">
        <v>38</v>
      </c>
      <c r="H11" s="2" t="s">
        <v>41</v>
      </c>
      <c r="I11" t="s">
        <v>33</v>
      </c>
      <c r="J11" t="s">
        <v>42</v>
      </c>
      <c r="K11" s="2" t="s">
        <v>39</v>
      </c>
    </row>
    <row r="12" spans="2:12" x14ac:dyDescent="0.35">
      <c r="C12" s="15">
        <v>1</v>
      </c>
      <c r="D12" s="15">
        <v>0.65</v>
      </c>
      <c r="E12" s="15">
        <v>0.35</v>
      </c>
      <c r="F12" s="15">
        <v>0.02</v>
      </c>
      <c r="G12" s="15" t="s">
        <v>36</v>
      </c>
      <c r="H12" s="15" t="s">
        <v>40</v>
      </c>
      <c r="I12" s="15">
        <v>0.45</v>
      </c>
      <c r="J12" s="15">
        <v>0.1</v>
      </c>
      <c r="K12" s="15">
        <v>0.35</v>
      </c>
      <c r="L12" t="s">
        <v>44</v>
      </c>
    </row>
    <row r="13" spans="2:12" x14ac:dyDescent="0.35">
      <c r="G13" t="s">
        <v>37</v>
      </c>
      <c r="H13" s="15" t="s">
        <v>43</v>
      </c>
      <c r="I13" s="15">
        <v>0.45</v>
      </c>
      <c r="J13" s="15">
        <v>0.1</v>
      </c>
      <c r="K13" s="16">
        <v>0.40500000000000003</v>
      </c>
      <c r="L13" t="s">
        <v>44</v>
      </c>
    </row>
    <row r="14" spans="2:12" x14ac:dyDescent="0.35">
      <c r="H14" t="s">
        <v>46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IngresosCostos Proveedores</vt:lpstr>
      <vt:lpstr>Base rendimiento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2026-03-20T19:29:12Z</dcterms:created>
  <dcterms:modified xsi:type="dcterms:W3CDTF">2026-05-18T21:17:04Z</dcterms:modified>
</cp:coreProperties>
</file>